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4C7563-817D-4A28-8CB0-C48E0A1C2B33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Clientes" sheetId="1" r:id="rId1"/>
    <sheet name="Fornecedores" sheetId="2" r:id="rId2"/>
    <sheet name="Produtos" sheetId="3" r:id="rId3"/>
    <sheet name="Estoque_CD" sheetId="4" r:id="rId4"/>
    <sheet name="Vendas" sheetId="5" r:id="rId5"/>
    <sheet name="Pedidos_Compra" sheetId="6" r:id="rId6"/>
    <sheet name="Devolucoes" sheetId="7" r:id="rId7"/>
  </sheets>
  <definedNames>
    <definedName name="_xlnm._FilterDatabase" localSheetId="5" hidden="1">Pedidos_Compra!$A$1:$H$11</definedName>
    <definedName name="_xlnm._FilterDatabase" localSheetId="4" hidden="1">Vendas!$A$1:$I$32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2" i="6"/>
  <c r="I3" i="4"/>
  <c r="I4" i="4"/>
  <c r="I5" i="4"/>
  <c r="I6" i="4"/>
  <c r="I7" i="4"/>
  <c r="I8" i="4"/>
  <c r="I9" i="4"/>
  <c r="I10" i="4"/>
  <c r="I11" i="4"/>
  <c r="I12" i="4"/>
  <c r="I13" i="4"/>
  <c r="I2" i="4"/>
  <c r="H3" i="4"/>
  <c r="H4" i="4"/>
  <c r="H5" i="4"/>
  <c r="H6" i="4"/>
  <c r="H7" i="4"/>
  <c r="H8" i="4"/>
  <c r="H9" i="4"/>
  <c r="H10" i="4"/>
  <c r="H11" i="4"/>
  <c r="H12" i="4"/>
  <c r="H13" i="4"/>
  <c r="H2" i="4"/>
  <c r="I3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</calcChain>
</file>

<file path=xl/sharedStrings.xml><?xml version="1.0" encoding="utf-8"?>
<sst xmlns="http://schemas.openxmlformats.org/spreadsheetml/2006/main" count="467" uniqueCount="264">
  <si>
    <t>id_cliente</t>
  </si>
  <si>
    <t>tipo</t>
  </si>
  <si>
    <t>cpf_cnpj</t>
  </si>
  <si>
    <t>nome_fantasia</t>
  </si>
  <si>
    <t>bairro</t>
  </si>
  <si>
    <t>municipio</t>
  </si>
  <si>
    <t>segmento</t>
  </si>
  <si>
    <t>porte</t>
  </si>
  <si>
    <t>C001</t>
  </si>
  <si>
    <t>CNPJ</t>
  </si>
  <si>
    <t>12.345.678/0001-90</t>
  </si>
  <si>
    <t>Construcenter Boa Viagem</t>
  </si>
  <si>
    <t>Boa Viagem</t>
  </si>
  <si>
    <t>Recife</t>
  </si>
  <si>
    <t>Material de construção</t>
  </si>
  <si>
    <t>Grande</t>
  </si>
  <si>
    <t>C002</t>
  </si>
  <si>
    <t>23.456.789/0001-01</t>
  </si>
  <si>
    <t>Depósito Jaboatão Center</t>
  </si>
  <si>
    <t>Prazeres</t>
  </si>
  <si>
    <t>Jaboatão dos Guararapes</t>
  </si>
  <si>
    <t>Médio</t>
  </si>
  <si>
    <t>C003</t>
  </si>
  <si>
    <t>34.567.890/0001-12</t>
  </si>
  <si>
    <t>Tintas &amp; Cia Olinda</t>
  </si>
  <si>
    <t>Peixinhos</t>
  </si>
  <si>
    <t>Olinda</t>
  </si>
  <si>
    <t>Lojas de tinta</t>
  </si>
  <si>
    <t>C004</t>
  </si>
  <si>
    <t>CPF</t>
  </si>
  <si>
    <t>123.456.789-00</t>
  </si>
  <si>
    <t>João da Silva Reformas</t>
  </si>
  <si>
    <t>Casa Amarela</t>
  </si>
  <si>
    <t>Aplicador autônomo</t>
  </si>
  <si>
    <t>Micro</t>
  </si>
  <si>
    <t>C005</t>
  </si>
  <si>
    <t>45.678.901/0001-23</t>
  </si>
  <si>
    <t>ObraFácil Paulista</t>
  </si>
  <si>
    <t>Maranguape I</t>
  </si>
  <si>
    <t>Paulista</t>
  </si>
  <si>
    <t>C006</t>
  </si>
  <si>
    <t>56.789.012/0001-34</t>
  </si>
  <si>
    <t>Auto Pinturas Cabo</t>
  </si>
  <si>
    <t>Centro</t>
  </si>
  <si>
    <t>Cabo de Santo Agostinho</t>
  </si>
  <si>
    <t>Oficina automotiva</t>
  </si>
  <si>
    <t>Pequeno</t>
  </si>
  <si>
    <t>C007</t>
  </si>
  <si>
    <t>234.567.890-11</t>
  </si>
  <si>
    <t>Maria Souza Pinturas</t>
  </si>
  <si>
    <t>Ibura</t>
  </si>
  <si>
    <t>C008</t>
  </si>
  <si>
    <t>67.890.123/0001-45</t>
  </si>
  <si>
    <t>Hiper Construção Imbiribeira</t>
  </si>
  <si>
    <t>Imbiribeira</t>
  </si>
  <si>
    <t>Home center</t>
  </si>
  <si>
    <t>C009</t>
  </si>
  <si>
    <t>78.901.234/0001-56</t>
  </si>
  <si>
    <t>Atacado Construir Camaragibe</t>
  </si>
  <si>
    <t>Timbi</t>
  </si>
  <si>
    <t>Camaragibe</t>
  </si>
  <si>
    <t>Atacado construção</t>
  </si>
  <si>
    <t>C010</t>
  </si>
  <si>
    <t>89.012.345/0001-67</t>
  </si>
  <si>
    <t>Tintas Express Igarassu</t>
  </si>
  <si>
    <t>Igarassu</t>
  </si>
  <si>
    <t>id_fornecedor</t>
  </si>
  <si>
    <t>cnpj</t>
  </si>
  <si>
    <t>razao_social</t>
  </si>
  <si>
    <t>estado</t>
  </si>
  <si>
    <t>linha_produto</t>
  </si>
  <si>
    <t>F001</t>
  </si>
  <si>
    <t>11.111.111/0001-11</t>
  </si>
  <si>
    <t>Tintas Nordeste S.A.</t>
  </si>
  <si>
    <t>PE</t>
  </si>
  <si>
    <t>Tintas imobiliárias base água</t>
  </si>
  <si>
    <t>F002</t>
  </si>
  <si>
    <t>22.222.222/0001-22</t>
  </si>
  <si>
    <t>Cores do Brasil Indústria de Tintas Ltda.</t>
  </si>
  <si>
    <t>SP</t>
  </si>
  <si>
    <t>Tintas imobiliárias premium</t>
  </si>
  <si>
    <t>F003</t>
  </si>
  <si>
    <t>33.333.333/0001-33</t>
  </si>
  <si>
    <t>AutoColor Revestimentos Automotivos S.A.</t>
  </si>
  <si>
    <t>RJ</t>
  </si>
  <si>
    <t>Tintas automotivas</t>
  </si>
  <si>
    <t>F004</t>
  </si>
  <si>
    <t>44.444.444/0001-44</t>
  </si>
  <si>
    <t>Quimicor Pigmentos e Solventes Ltda.</t>
  </si>
  <si>
    <t>BA</t>
  </si>
  <si>
    <t>Solv. e complementos</t>
  </si>
  <si>
    <t>F005</t>
  </si>
  <si>
    <t>55.555.555/0001-55</t>
  </si>
  <si>
    <t>EcoTintas do Nordeste Ltda.</t>
  </si>
  <si>
    <t>Tintas ecológicas e baixo VOC</t>
  </si>
  <si>
    <t>id_produto</t>
  </si>
  <si>
    <t>descricao</t>
  </si>
  <si>
    <t>categoria</t>
  </si>
  <si>
    <t>linha</t>
  </si>
  <si>
    <t>unidade</t>
  </si>
  <si>
    <t>validade_meses</t>
  </si>
  <si>
    <t>P001</t>
  </si>
  <si>
    <t>Tinta acrílica branca 18L</t>
  </si>
  <si>
    <t>Tinta imobiliária</t>
  </si>
  <si>
    <t>Econômica</t>
  </si>
  <si>
    <t>Galão 18L</t>
  </si>
  <si>
    <t>P002</t>
  </si>
  <si>
    <t>Tinta acrílica cor palha 18L</t>
  </si>
  <si>
    <t>P003</t>
  </si>
  <si>
    <t>Tinta premium branca 18L</t>
  </si>
  <si>
    <t>Premium</t>
  </si>
  <si>
    <t>P004</t>
  </si>
  <si>
    <t>Massa corrida 25kg</t>
  </si>
  <si>
    <t>Complemento</t>
  </si>
  <si>
    <t>Massa/Preparação</t>
  </si>
  <si>
    <t>Saco 25kg</t>
  </si>
  <si>
    <t>P005</t>
  </si>
  <si>
    <t>Tinta automotiva poliéster preto 900ml</t>
  </si>
  <si>
    <t>Tinta automotiva</t>
  </si>
  <si>
    <t>Automotiva</t>
  </si>
  <si>
    <t>Lata 900ml</t>
  </si>
  <si>
    <t>P006</t>
  </si>
  <si>
    <t>Verniz automotivo alto sólido 900ml</t>
  </si>
  <si>
    <t>Verniz</t>
  </si>
  <si>
    <t>P007</t>
  </si>
  <si>
    <t>Tinta ecológica branca 18L</t>
  </si>
  <si>
    <t>Ecológica</t>
  </si>
  <si>
    <t>P008</t>
  </si>
  <si>
    <t>Esmalte sintético branco 3,6L</t>
  </si>
  <si>
    <t>Esmalte</t>
  </si>
  <si>
    <t>Imobiliária</t>
  </si>
  <si>
    <t>Lata 3,6L</t>
  </si>
  <si>
    <t>P009</t>
  </si>
  <si>
    <t>Thinner padrão 5L</t>
  </si>
  <si>
    <t>Solução/Solvente</t>
  </si>
  <si>
    <t>Solv./Thinner</t>
  </si>
  <si>
    <t>Galão 5L</t>
  </si>
  <si>
    <t>P010</t>
  </si>
  <si>
    <t>Tinta premium fosca branca 3,6L</t>
  </si>
  <si>
    <t>id_estoque</t>
  </si>
  <si>
    <t>lote</t>
  </si>
  <si>
    <t>data_fabricacao</t>
  </si>
  <si>
    <t>data_validade</t>
  </si>
  <si>
    <t>quantidade</t>
  </si>
  <si>
    <t>localizacao_cd</t>
  </si>
  <si>
    <t>E001</t>
  </si>
  <si>
    <t>L2301</t>
  </si>
  <si>
    <t>RUA-A1-NÍVEL-01</t>
  </si>
  <si>
    <t>E002</t>
  </si>
  <si>
    <t>L2307</t>
  </si>
  <si>
    <t>RUA-A1-NÍVEL-03</t>
  </si>
  <si>
    <t>E003</t>
  </si>
  <si>
    <t>L2303</t>
  </si>
  <si>
    <t>RUA-A2-NÍVEL-02</t>
  </si>
  <si>
    <t>E004</t>
  </si>
  <si>
    <t>L2402</t>
  </si>
  <si>
    <t>RUA-B1-NÍVEL-01</t>
  </si>
  <si>
    <t>E005</t>
  </si>
  <si>
    <t>L2406</t>
  </si>
  <si>
    <t>RUA-B1-NÍVEL-02</t>
  </si>
  <si>
    <t>E006</t>
  </si>
  <si>
    <t>L2309</t>
  </si>
  <si>
    <t>RUA-C1-NÍVEL-01</t>
  </si>
  <si>
    <t>E007</t>
  </si>
  <si>
    <t>L2401</t>
  </si>
  <si>
    <t>RUA-D1-NÍVEL-01</t>
  </si>
  <si>
    <t>E008</t>
  </si>
  <si>
    <t>RUA-D2-NÍVEL-01</t>
  </si>
  <si>
    <t>E009</t>
  </si>
  <si>
    <t>L2308</t>
  </si>
  <si>
    <t>RUA-E1-NÍVEL-01</t>
  </si>
  <si>
    <t>E010</t>
  </si>
  <si>
    <t>L2305</t>
  </si>
  <si>
    <t>RUA-A3-NÍVEL-02</t>
  </si>
  <si>
    <t>E011</t>
  </si>
  <si>
    <t>L2304</t>
  </si>
  <si>
    <t>RUA-F1-NÍVEL-01</t>
  </si>
  <si>
    <t>E012</t>
  </si>
  <si>
    <t>L2403</t>
  </si>
  <si>
    <t>RUA-B2-NÍVEL-01</t>
  </si>
  <si>
    <t>id_venda</t>
  </si>
  <si>
    <t>data</t>
  </si>
  <si>
    <t>preco_unitario</t>
  </si>
  <si>
    <t>canal</t>
  </si>
  <si>
    <t>prazo_pagamento_dias</t>
  </si>
  <si>
    <t>V001</t>
  </si>
  <si>
    <t>Representante</t>
  </si>
  <si>
    <t>V002</t>
  </si>
  <si>
    <t>Telefone</t>
  </si>
  <si>
    <t>V003</t>
  </si>
  <si>
    <t>2025-03-05</t>
  </si>
  <si>
    <t>E-commerce</t>
  </si>
  <si>
    <t>V004</t>
  </si>
  <si>
    <t>V005</t>
  </si>
  <si>
    <t>Loja física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</si>
  <si>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</si>
  <si>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</si>
  <si>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</si>
  <si>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</si>
  <si>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</si>
  <si>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</si>
  <si>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</si>
  <si>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</si>
  <si>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</si>
  <si>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2025-06-18</t>
  </si>
  <si>
    <t>V015</t>
  </si>
  <si>
    <t>V016</t>
  </si>
  <si>
    <t>V017</t>
  </si>
  <si>
    <t>V018</t>
  </si>
  <si>
    <t>V019</t>
  </si>
  <si>
    <t>V020</t>
  </si>
  <si>
    <t>V021</t>
  </si>
  <si>
    <t>V022</t>
  </si>
  <si>
    <t>2025-10-05</t>
  </si>
  <si>
    <t>V023</t>
  </si>
  <si>
    <t>V024</t>
  </si>
  <si>
    <t>V025</t>
  </si>
  <si>
    <t>V026</t>
  </si>
  <si>
    <t>V027</t>
  </si>
  <si>
    <t>V028</t>
  </si>
  <si>
    <t>V029</t>
  </si>
  <si>
    <t>V030</t>
  </si>
  <si>
    <t>id_pedido_compra</t>
  </si>
  <si>
    <t>status</t>
  </si>
  <si>
    <t>previsao_entrega</t>
  </si>
  <si>
    <t>PC001</t>
  </si>
  <si>
    <t>Entregue</t>
  </si>
  <si>
    <t>2025-02-05</t>
  </si>
  <si>
    <t>PC002</t>
  </si>
  <si>
    <t>PC003</t>
  </si>
  <si>
    <t>2025-03-25</t>
  </si>
  <si>
    <t>PC004</t>
  </si>
  <si>
    <t>PC005</t>
  </si>
  <si>
    <t>2025-04-20</t>
  </si>
  <si>
    <t>PC006</t>
  </si>
  <si>
    <t>2025-05-30</t>
  </si>
  <si>
    <t>PC007</t>
  </si>
  <si>
    <t>PC008</t>
  </si>
  <si>
    <t>Em trânsito</t>
  </si>
  <si>
    <t>2025-09-02</t>
  </si>
  <si>
    <t>PC009</t>
  </si>
  <si>
    <t>PC010</t>
  </si>
  <si>
    <t>2025-11-10</t>
  </si>
  <si>
    <t>id_devolucao</t>
  </si>
  <si>
    <t>motivo</t>
  </si>
  <si>
    <t>forma_destinacao</t>
  </si>
  <si>
    <t>D001</t>
  </si>
  <si>
    <t>Validade próxima</t>
  </si>
  <si>
    <t>Retorno ao CD para descarte</t>
  </si>
  <si>
    <t>D002</t>
  </si>
  <si>
    <t>Lata amassada</t>
  </si>
  <si>
    <t>Reaproveitamento interno</t>
  </si>
  <si>
    <t>D003</t>
  </si>
  <si>
    <t>Sobra de mistura</t>
  </si>
  <si>
    <t>Coleta especializada</t>
  </si>
  <si>
    <t>D004</t>
  </si>
  <si>
    <t>Produto encalhado</t>
  </si>
  <si>
    <t>Campanha promocional</t>
  </si>
  <si>
    <t>D005</t>
  </si>
  <si>
    <t>Parceria Ponto de Entrega Voluntária</t>
  </si>
  <si>
    <t>faturamento</t>
  </si>
  <si>
    <t>V031</t>
  </si>
  <si>
    <t>vencimento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</si>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</sst>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C5C8C6"/>
      <name val="Inherit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</cellXfs>
  <cellStyles count="2">
    <cellStyle name="Moeda" xfId="1" builtinId="4"/>
    <cellStyle name="Normal" xfId="0" builtinId="0"/>
  </cellStyles>
  <dxfs count="7"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N24" sqref="N24"/>
    </sheetView>
  </sheetViews>
  <sheetFormatPr defaultRowHeight="15"/>
  <cols>
    <col min="1" max="1" width="9.85546875" style="2" bestFit="1" customWidth="1"/>
    <col min="2" max="2" width="5.42578125" style="2" bestFit="1" customWidth="1"/>
    <col min="3" max="3" width="18" style="2" bestFit="1" customWidth="1"/>
    <col min="4" max="4" width="28.140625" style="2" bestFit="1" customWidth="1"/>
    <col min="5" max="5" width="13.140625" style="2" bestFit="1" customWidth="1"/>
    <col min="6" max="6" width="23.42578125" style="2" bestFit="1" customWidth="1"/>
    <col min="7" max="7" width="21.5703125" style="2" bestFit="1" customWidth="1"/>
    <col min="8" max="8" width="9" style="2" bestFit="1" customWidth="1"/>
    <col min="9" max="16384" width="9.140625" style="2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21</v>
      </c>
    </row>
    <row r="4" spans="1:8">
      <c r="A4" s="2" t="s">
        <v>22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21</v>
      </c>
    </row>
    <row r="5" spans="1:8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13</v>
      </c>
      <c r="G5" s="2" t="s">
        <v>33</v>
      </c>
      <c r="H5" s="2" t="s">
        <v>34</v>
      </c>
    </row>
    <row r="6" spans="1:8">
      <c r="A6" s="2" t="s">
        <v>35</v>
      </c>
      <c r="B6" s="2" t="s">
        <v>9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14</v>
      </c>
      <c r="H6" s="2" t="s">
        <v>21</v>
      </c>
    </row>
    <row r="7" spans="1:8">
      <c r="A7" s="2" t="s">
        <v>40</v>
      </c>
      <c r="B7" s="2" t="s">
        <v>9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</row>
    <row r="8" spans="1:8">
      <c r="A8" s="2" t="s">
        <v>47</v>
      </c>
      <c r="B8" s="2" t="s">
        <v>29</v>
      </c>
      <c r="C8" s="2" t="s">
        <v>48</v>
      </c>
      <c r="D8" s="2" t="s">
        <v>49</v>
      </c>
      <c r="E8" s="2" t="s">
        <v>50</v>
      </c>
      <c r="F8" s="2" t="s">
        <v>13</v>
      </c>
      <c r="G8" s="2" t="s">
        <v>33</v>
      </c>
      <c r="H8" s="2" t="s">
        <v>34</v>
      </c>
    </row>
    <row r="9" spans="1:8">
      <c r="A9" s="2" t="s">
        <v>51</v>
      </c>
      <c r="B9" s="2" t="s">
        <v>9</v>
      </c>
      <c r="C9" s="2" t="s">
        <v>52</v>
      </c>
      <c r="D9" s="2" t="s">
        <v>53</v>
      </c>
      <c r="E9" s="2" t="s">
        <v>54</v>
      </c>
      <c r="F9" s="2" t="s">
        <v>13</v>
      </c>
      <c r="G9" s="2" t="s">
        <v>55</v>
      </c>
      <c r="H9" s="2" t="s">
        <v>15</v>
      </c>
    </row>
    <row r="10" spans="1:8">
      <c r="A10" s="2" t="s">
        <v>56</v>
      </c>
      <c r="B10" s="2" t="s">
        <v>9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2" t="s">
        <v>21</v>
      </c>
    </row>
    <row r="11" spans="1:8">
      <c r="A11" s="2" t="s">
        <v>62</v>
      </c>
      <c r="B11" s="2" t="s">
        <v>9</v>
      </c>
      <c r="C11" s="2" t="s">
        <v>63</v>
      </c>
      <c r="D11" s="2" t="s">
        <v>64</v>
      </c>
      <c r="E11" s="2" t="s">
        <v>43</v>
      </c>
      <c r="F11" s="2" t="s">
        <v>65</v>
      </c>
      <c r="G11" s="2" t="s">
        <v>27</v>
      </c>
      <c r="H11" s="2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C26" sqref="C26"/>
    </sheetView>
  </sheetViews>
  <sheetFormatPr defaultRowHeight="15"/>
  <cols>
    <col min="1" max="1" width="13.7109375" style="2" bestFit="1" customWidth="1"/>
    <col min="2" max="2" width="18" style="2" bestFit="1" customWidth="1"/>
    <col min="3" max="3" width="40.42578125" style="2" bestFit="1" customWidth="1"/>
    <col min="4" max="4" width="7" style="2" bestFit="1" customWidth="1"/>
    <col min="5" max="5" width="27.5703125" style="2" bestFit="1" customWidth="1"/>
    <col min="6" max="16384" width="9.140625" style="2"/>
  </cols>
  <sheetData>
    <row r="1" spans="1: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>
      <c r="A2" s="2" t="s">
        <v>71</v>
      </c>
      <c r="B2" s="2" t="s">
        <v>72</v>
      </c>
      <c r="C2" s="2" t="s">
        <v>73</v>
      </c>
      <c r="D2" s="2" t="s">
        <v>74</v>
      </c>
      <c r="E2" s="2" t="s">
        <v>75</v>
      </c>
    </row>
    <row r="3" spans="1:5">
      <c r="A3" s="2" t="s">
        <v>76</v>
      </c>
      <c r="B3" s="2" t="s">
        <v>77</v>
      </c>
      <c r="C3" s="2" t="s">
        <v>78</v>
      </c>
      <c r="D3" s="2" t="s">
        <v>79</v>
      </c>
      <c r="E3" s="2" t="s">
        <v>80</v>
      </c>
    </row>
    <row r="4" spans="1:5">
      <c r="A4" s="2" t="s">
        <v>81</v>
      </c>
      <c r="B4" s="2" t="s">
        <v>82</v>
      </c>
      <c r="C4" s="2" t="s">
        <v>83</v>
      </c>
      <c r="D4" s="2" t="s">
        <v>84</v>
      </c>
      <c r="E4" s="2" t="s">
        <v>85</v>
      </c>
    </row>
    <row r="5" spans="1:5">
      <c r="A5" s="2" t="s">
        <v>86</v>
      </c>
      <c r="B5" s="2" t="s">
        <v>87</v>
      </c>
      <c r="C5" s="2" t="s">
        <v>88</v>
      </c>
      <c r="D5" s="2" t="s">
        <v>89</v>
      </c>
      <c r="E5" s="2" t="s">
        <v>90</v>
      </c>
    </row>
    <row r="6" spans="1:5">
      <c r="A6" s="2" t="s">
        <v>91</v>
      </c>
      <c r="B6" s="2" t="s">
        <v>92</v>
      </c>
      <c r="C6" s="2" t="s">
        <v>93</v>
      </c>
      <c r="D6" s="2" t="s">
        <v>74</v>
      </c>
      <c r="E6" s="2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H2" sqref="H2"/>
    </sheetView>
  </sheetViews>
  <sheetFormatPr defaultRowHeight="15"/>
  <cols>
    <col min="1" max="1" width="10.85546875" style="2" bestFit="1" customWidth="1"/>
    <col min="2" max="2" width="13.7109375" style="2" bestFit="1" customWidth="1"/>
    <col min="3" max="3" width="36.28515625" style="2" bestFit="1" customWidth="1"/>
    <col min="4" max="4" width="16.7109375" style="2" bestFit="1" customWidth="1"/>
    <col min="5" max="5" width="17.42578125" style="2" bestFit="1" customWidth="1"/>
    <col min="6" max="6" width="10.28515625" style="2" bestFit="1" customWidth="1"/>
    <col min="7" max="7" width="15.42578125" style="2" bestFit="1" customWidth="1"/>
    <col min="8" max="8" width="14.140625" style="2" bestFit="1" customWidth="1"/>
    <col min="9" max="16384" width="9.140625" style="2"/>
  </cols>
  <sheetData>
    <row r="1" spans="1:8">
      <c r="A1" s="1" t="s">
        <v>95</v>
      </c>
      <c r="B1" s="1" t="s">
        <v>66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182</v>
      </c>
    </row>
    <row r="2" spans="1:8">
      <c r="A2" s="2" t="s">
        <v>101</v>
      </c>
      <c r="B2" s="2" t="s">
        <v>71</v>
      </c>
      <c r="C2" s="2" t="s">
        <v>102</v>
      </c>
      <c r="D2" s="2" t="s">
        <v>103</v>
      </c>
      <c r="E2" s="2" t="s">
        <v>104</v>
      </c>
      <c r="F2" s="2" t="s">
        <v>105</v>
      </c>
      <c r="G2" s="2">
        <v>36</v>
      </c>
      <c r="H2" s="2">
        <v>150</v>
      </c>
    </row>
    <row r="3" spans="1:8">
      <c r="A3" s="2" t="s">
        <v>106</v>
      </c>
      <c r="B3" s="2" t="s">
        <v>71</v>
      </c>
      <c r="C3" s="2" t="s">
        <v>107</v>
      </c>
      <c r="D3" s="2" t="s">
        <v>103</v>
      </c>
      <c r="E3" s="2" t="s">
        <v>104</v>
      </c>
      <c r="F3" s="2" t="s">
        <v>105</v>
      </c>
      <c r="G3" s="2">
        <v>36</v>
      </c>
      <c r="H3" s="2">
        <v>155</v>
      </c>
    </row>
    <row r="4" spans="1:8">
      <c r="A4" s="2" t="s">
        <v>108</v>
      </c>
      <c r="B4" s="2" t="s">
        <v>76</v>
      </c>
      <c r="C4" s="2" t="s">
        <v>109</v>
      </c>
      <c r="D4" s="2" t="s">
        <v>103</v>
      </c>
      <c r="E4" s="2" t="s">
        <v>110</v>
      </c>
      <c r="F4" s="2" t="s">
        <v>105</v>
      </c>
      <c r="G4" s="2">
        <v>48</v>
      </c>
      <c r="H4" s="2">
        <v>320</v>
      </c>
    </row>
    <row r="5" spans="1:8">
      <c r="A5" s="2" t="s">
        <v>111</v>
      </c>
      <c r="B5" s="2" t="s">
        <v>76</v>
      </c>
      <c r="C5" s="2" t="s">
        <v>112</v>
      </c>
      <c r="D5" s="2" t="s">
        <v>113</v>
      </c>
      <c r="E5" s="2" t="s">
        <v>114</v>
      </c>
      <c r="F5" s="2" t="s">
        <v>115</v>
      </c>
      <c r="G5" s="2">
        <v>24</v>
      </c>
      <c r="H5" s="2">
        <v>135</v>
      </c>
    </row>
    <row r="6" spans="1:8">
      <c r="A6" s="2" t="s">
        <v>116</v>
      </c>
      <c r="B6" s="2" t="s">
        <v>81</v>
      </c>
      <c r="C6" s="2" t="s">
        <v>117</v>
      </c>
      <c r="D6" s="2" t="s">
        <v>118</v>
      </c>
      <c r="E6" s="2" t="s">
        <v>119</v>
      </c>
      <c r="F6" s="2" t="s">
        <v>120</v>
      </c>
      <c r="G6" s="2">
        <v>24</v>
      </c>
      <c r="H6" s="2">
        <v>110</v>
      </c>
    </row>
    <row r="7" spans="1:8">
      <c r="A7" s="2" t="s">
        <v>121</v>
      </c>
      <c r="B7" s="2" t="s">
        <v>81</v>
      </c>
      <c r="C7" s="2" t="s">
        <v>122</v>
      </c>
      <c r="D7" s="2" t="s">
        <v>123</v>
      </c>
      <c r="E7" s="2" t="s">
        <v>119</v>
      </c>
      <c r="F7" s="2" t="s">
        <v>120</v>
      </c>
      <c r="G7" s="2">
        <v>24</v>
      </c>
      <c r="H7" s="2">
        <v>135</v>
      </c>
    </row>
    <row r="8" spans="1:8">
      <c r="A8" s="2" t="s">
        <v>124</v>
      </c>
      <c r="B8" s="2" t="s">
        <v>91</v>
      </c>
      <c r="C8" s="2" t="s">
        <v>125</v>
      </c>
      <c r="D8" s="2" t="s">
        <v>103</v>
      </c>
      <c r="E8" s="2" t="s">
        <v>126</v>
      </c>
      <c r="F8" s="2" t="s">
        <v>105</v>
      </c>
      <c r="G8" s="2">
        <v>30</v>
      </c>
      <c r="H8" s="2">
        <v>190</v>
      </c>
    </row>
    <row r="9" spans="1:8">
      <c r="A9" s="2" t="s">
        <v>127</v>
      </c>
      <c r="B9" s="2" t="s">
        <v>71</v>
      </c>
      <c r="C9" s="2" t="s">
        <v>128</v>
      </c>
      <c r="D9" s="2" t="s">
        <v>129</v>
      </c>
      <c r="E9" s="2" t="s">
        <v>130</v>
      </c>
      <c r="F9" s="2" t="s">
        <v>131</v>
      </c>
      <c r="G9" s="2">
        <v>30</v>
      </c>
      <c r="H9" s="2">
        <v>100</v>
      </c>
    </row>
    <row r="10" spans="1:8">
      <c r="A10" s="2" t="s">
        <v>132</v>
      </c>
      <c r="B10" s="2" t="s">
        <v>86</v>
      </c>
      <c r="C10" s="2" t="s">
        <v>133</v>
      </c>
      <c r="D10" s="2" t="s">
        <v>134</v>
      </c>
      <c r="E10" s="2" t="s">
        <v>135</v>
      </c>
      <c r="F10" s="2" t="s">
        <v>136</v>
      </c>
      <c r="G10" s="2">
        <v>18</v>
      </c>
      <c r="H10" s="2">
        <v>70</v>
      </c>
    </row>
    <row r="11" spans="1:8">
      <c r="A11" s="2" t="s">
        <v>137</v>
      </c>
      <c r="B11" s="2" t="s">
        <v>76</v>
      </c>
      <c r="C11" s="2" t="s">
        <v>138</v>
      </c>
      <c r="D11" s="2" t="s">
        <v>103</v>
      </c>
      <c r="E11" s="2" t="s">
        <v>110</v>
      </c>
      <c r="F11" s="2" t="s">
        <v>131</v>
      </c>
      <c r="G11" s="2">
        <v>48</v>
      </c>
      <c r="H11" s="2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"/>
  <sheetViews>
    <sheetView workbookViewId="0">
      <selection activeCell="M10" sqref="M10"/>
    </sheetView>
  </sheetViews>
  <sheetFormatPr defaultRowHeight="15"/>
  <cols>
    <col min="1" max="1" width="11" style="2" bestFit="1" customWidth="1"/>
    <col min="2" max="2" width="10.85546875" style="2" bestFit="1" customWidth="1"/>
    <col min="3" max="3" width="5.85546875" style="2" bestFit="1" customWidth="1"/>
    <col min="4" max="4" width="15" style="2" bestFit="1" customWidth="1"/>
    <col min="5" max="5" width="13.5703125" style="2" bestFit="1" customWidth="1"/>
    <col min="6" max="6" width="11.140625" style="2" bestFit="1" customWidth="1"/>
    <col min="7" max="7" width="16.42578125" style="2" bestFit="1" customWidth="1"/>
    <col min="8" max="8" width="14.140625" style="2" bestFit="1" customWidth="1"/>
    <col min="9" max="9" width="21.42578125" style="2" bestFit="1" customWidth="1"/>
    <col min="10" max="12" width="9.140625" style="2"/>
    <col min="13" max="13" width="10.7109375" style="2" bestFit="1" customWidth="1"/>
    <col min="14" max="16384" width="9.140625" style="2"/>
  </cols>
  <sheetData>
    <row r="1" spans="1:17">
      <c r="A1" s="1" t="s">
        <v>139</v>
      </c>
      <c r="B1" s="1" t="s">
        <v>95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182</v>
      </c>
      <c r="I1" s="1" t="s">
        <v>262</v>
      </c>
    </row>
    <row r="2" spans="1:17">
      <c r="A2" s="2" t="s">
        <v>145</v>
      </c>
      <c r="B2" s="2" t="s">
        <v>101</v>
      </c>
      <c r="C2" s="2" t="s">
        <v>146</v>
      </c>
      <c r="D2" s="5">
        <v>44941</v>
      </c>
      <c r="E2" s="5">
        <v>46037</v>
      </c>
      <c r="F2" s="7">
        <v>320</v>
      </c>
      <c r="G2" s="2" t="s">
        <v>147</v>
      </c>
      <c r="H2" s="2">
        <f>VLOOKUP(B2,Produtos!$A$1:$H$11,8,0)</f>
        <v>150</v>
      </c>
      <c r="I2" s="2" t="str">
        <f ca="1">IF(E2&lt;=TODAY(),"Vencido",IF(E2&lt;=TODAY()+30,"Muito Próximo de Vencer",IF(E2&lt;=TODAY()+90,"Próximo de Vencer",IF(E2&lt;=TODAY()+365,"Normal","Novo"))))</f>
        <v>Vencido</v>
      </c>
    </row>
    <row r="3" spans="1:17">
      <c r="A3" s="2" t="s">
        <v>148</v>
      </c>
      <c r="B3" s="2" t="s">
        <v>101</v>
      </c>
      <c r="C3" s="2" t="s">
        <v>149</v>
      </c>
      <c r="D3" s="5">
        <v>45117</v>
      </c>
      <c r="E3" s="5">
        <v>46213</v>
      </c>
      <c r="F3" s="7">
        <v>150</v>
      </c>
      <c r="G3" s="2" t="s">
        <v>150</v>
      </c>
      <c r="H3" s="2">
        <f>VLOOKUP(B3,Produtos!$A$1:$H$11,8,0)</f>
        <v>150</v>
      </c>
      <c r="I3" s="2" t="str">
        <f t="shared" ref="I3:I13" ca="1" si="0">IF(E3&lt;=TODAY(),"Vencido",IF(E3&lt;=TODAY()+30,"Muito Próximo de Vencer",IF(E3&lt;=TODAY()+90,"Próximo de Vencer",IF(E3&lt;=TODAY()+365,"Normal","Novo"))))</f>
        <v>Normal</v>
      </c>
    </row>
    <row r="4" spans="1:17">
      <c r="A4" s="2" t="s">
        <v>151</v>
      </c>
      <c r="B4" s="2" t="s">
        <v>106</v>
      </c>
      <c r="C4" s="2" t="s">
        <v>152</v>
      </c>
      <c r="D4" s="5">
        <v>45005</v>
      </c>
      <c r="E4" s="5">
        <v>46101</v>
      </c>
      <c r="F4" s="7">
        <v>210</v>
      </c>
      <c r="G4" s="2" t="s">
        <v>153</v>
      </c>
      <c r="H4" s="2">
        <f>VLOOKUP(B4,Produtos!$A$1:$H$11,8,0)</f>
        <v>155</v>
      </c>
      <c r="I4" s="2" t="str">
        <f t="shared" ca="1" si="0"/>
        <v>Próximo de Vencer</v>
      </c>
    </row>
    <row r="5" spans="1:17">
      <c r="A5" s="2" t="s">
        <v>154</v>
      </c>
      <c r="B5" s="2" t="s">
        <v>108</v>
      </c>
      <c r="C5" s="2" t="s">
        <v>155</v>
      </c>
      <c r="D5" s="5">
        <v>45327</v>
      </c>
      <c r="E5" s="5">
        <v>46788</v>
      </c>
      <c r="F5" s="7">
        <v>80</v>
      </c>
      <c r="G5" s="2" t="s">
        <v>156</v>
      </c>
      <c r="H5" s="2">
        <f>VLOOKUP(B5,Produtos!$A$1:$H$11,8,0)</f>
        <v>320</v>
      </c>
      <c r="I5" s="2" t="str">
        <f t="shared" ca="1" si="0"/>
        <v>Novo</v>
      </c>
    </row>
    <row r="6" spans="1:17">
      <c r="A6" s="2" t="s">
        <v>157</v>
      </c>
      <c r="B6" s="2" t="s">
        <v>108</v>
      </c>
      <c r="C6" s="2" t="s">
        <v>158</v>
      </c>
      <c r="D6" s="5">
        <v>45461</v>
      </c>
      <c r="E6" s="5">
        <v>46922</v>
      </c>
      <c r="F6" s="7">
        <v>40</v>
      </c>
      <c r="G6" s="2" t="s">
        <v>159</v>
      </c>
      <c r="H6" s="2">
        <f>VLOOKUP(B6,Produtos!$A$1:$H$11,8,0)</f>
        <v>320</v>
      </c>
      <c r="I6" s="2" t="str">
        <f t="shared" ca="1" si="0"/>
        <v>Novo</v>
      </c>
    </row>
    <row r="7" spans="1:17">
      <c r="A7" s="2" t="s">
        <v>160</v>
      </c>
      <c r="B7" s="2" t="s">
        <v>111</v>
      </c>
      <c r="C7" s="2" t="s">
        <v>161</v>
      </c>
      <c r="D7" s="5">
        <v>45181</v>
      </c>
      <c r="E7" s="5">
        <v>45912</v>
      </c>
      <c r="F7" s="7">
        <v>50</v>
      </c>
      <c r="G7" s="2" t="s">
        <v>162</v>
      </c>
      <c r="H7" s="2">
        <f>VLOOKUP(B7,Produtos!$A$1:$H$11,8,0)</f>
        <v>135</v>
      </c>
      <c r="I7" s="2" t="str">
        <f t="shared" ca="1" si="0"/>
        <v>Vencido</v>
      </c>
    </row>
    <row r="8" spans="1:17">
      <c r="A8" s="2" t="s">
        <v>163</v>
      </c>
      <c r="B8" s="2" t="s">
        <v>116</v>
      </c>
      <c r="C8" s="2" t="s">
        <v>164</v>
      </c>
      <c r="D8" s="5">
        <v>45313</v>
      </c>
      <c r="E8" s="5">
        <v>46044</v>
      </c>
      <c r="F8" s="7">
        <v>60</v>
      </c>
      <c r="G8" s="2" t="s">
        <v>165</v>
      </c>
      <c r="H8" s="2">
        <f>VLOOKUP(B8,Produtos!$A$1:$H$11,8,0)</f>
        <v>110</v>
      </c>
      <c r="I8" s="2" t="str">
        <f t="shared" ca="1" si="0"/>
        <v>Vencido</v>
      </c>
      <c r="O8" s="9"/>
      <c r="Q8" s="8"/>
    </row>
    <row r="9" spans="1:17">
      <c r="A9" s="2" t="s">
        <v>166</v>
      </c>
      <c r="B9" s="2" t="s">
        <v>121</v>
      </c>
      <c r="C9" s="2" t="s">
        <v>164</v>
      </c>
      <c r="D9" s="5">
        <v>45316</v>
      </c>
      <c r="E9" s="5">
        <v>46047</v>
      </c>
      <c r="F9" s="7">
        <v>45</v>
      </c>
      <c r="G9" s="2" t="s">
        <v>167</v>
      </c>
      <c r="H9" s="2">
        <f>VLOOKUP(B9,Produtos!$A$1:$H$11,8,0)</f>
        <v>135</v>
      </c>
      <c r="I9" s="2" t="str">
        <f t="shared" ca="1" si="0"/>
        <v>Vencido</v>
      </c>
    </row>
    <row r="10" spans="1:17">
      <c r="A10" s="2" t="s">
        <v>168</v>
      </c>
      <c r="B10" s="2" t="s">
        <v>124</v>
      </c>
      <c r="C10" s="2" t="s">
        <v>169</v>
      </c>
      <c r="D10" s="5">
        <v>45168</v>
      </c>
      <c r="E10" s="5">
        <v>46264</v>
      </c>
      <c r="F10" s="7">
        <v>110</v>
      </c>
      <c r="G10" s="2" t="s">
        <v>170</v>
      </c>
      <c r="H10" s="2">
        <f>VLOOKUP(B10,Produtos!$A$1:$H$11,8,0)</f>
        <v>190</v>
      </c>
      <c r="I10" s="2" t="str">
        <f t="shared" ca="1" si="0"/>
        <v>Normal</v>
      </c>
    </row>
    <row r="11" spans="1:17">
      <c r="A11" s="2" t="s">
        <v>171</v>
      </c>
      <c r="B11" s="2" t="s">
        <v>127</v>
      </c>
      <c r="C11" s="2" t="s">
        <v>172</v>
      </c>
      <c r="D11" s="5">
        <v>45056</v>
      </c>
      <c r="E11" s="5">
        <v>46152</v>
      </c>
      <c r="F11" s="7">
        <v>200</v>
      </c>
      <c r="G11" s="2" t="s">
        <v>173</v>
      </c>
      <c r="H11" s="2">
        <f>VLOOKUP(B11,Produtos!$A$1:$H$11,8,0)</f>
        <v>100</v>
      </c>
      <c r="I11" s="2" t="str">
        <f t="shared" ca="1" si="0"/>
        <v>Próximo de Vencer</v>
      </c>
      <c r="M11" s="5"/>
    </row>
    <row r="12" spans="1:17">
      <c r="A12" s="2" t="s">
        <v>174</v>
      </c>
      <c r="B12" s="2" t="s">
        <v>132</v>
      </c>
      <c r="C12" s="2" t="s">
        <v>175</v>
      </c>
      <c r="D12" s="5">
        <v>45018</v>
      </c>
      <c r="E12" s="5">
        <v>45932</v>
      </c>
      <c r="F12" s="7">
        <v>90</v>
      </c>
      <c r="G12" s="2" t="s">
        <v>176</v>
      </c>
      <c r="H12" s="2">
        <f>VLOOKUP(B12,Produtos!$A$1:$H$11,8,0)</f>
        <v>70</v>
      </c>
      <c r="I12" s="2" t="str">
        <f t="shared" ca="1" si="0"/>
        <v>Vencido</v>
      </c>
    </row>
    <row r="13" spans="1:17">
      <c r="A13" s="2" t="s">
        <v>177</v>
      </c>
      <c r="B13" s="2" t="s">
        <v>137</v>
      </c>
      <c r="C13" s="2" t="s">
        <v>178</v>
      </c>
      <c r="D13" s="5">
        <v>45366</v>
      </c>
      <c r="E13" s="5">
        <v>46827</v>
      </c>
      <c r="F13" s="7">
        <v>70</v>
      </c>
      <c r="G13" s="2" t="s">
        <v>179</v>
      </c>
      <c r="H13" s="2">
        <f>VLOOKUP(B13,Produtos!$A$1:$H$11,8,0)</f>
        <v>115</v>
      </c>
      <c r="I13" s="2" t="str">
        <f t="shared" ca="1" si="0"/>
        <v>Novo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"/>
  <sheetViews>
    <sheetView workbookViewId="0">
      <selection activeCell="J18" sqref="J18"/>
    </sheetView>
  </sheetViews>
  <sheetFormatPr defaultRowHeight="15"/>
  <cols>
    <col min="1" max="1" width="9.140625" style="2"/>
    <col min="2" max="2" width="10.7109375" style="2" bestFit="1" customWidth="1"/>
    <col min="3" max="3" width="9.85546875" style="2" bestFit="1" customWidth="1"/>
    <col min="4" max="4" width="10.85546875" style="2" bestFit="1" customWidth="1"/>
    <col min="5" max="5" width="11.140625" style="2" bestFit="1" customWidth="1"/>
    <col min="6" max="6" width="14.140625" style="2" bestFit="1" customWidth="1"/>
    <col min="7" max="7" width="14.28515625" style="2" bestFit="1" customWidth="1"/>
    <col min="8" max="8" width="21.85546875" style="2" bestFit="1" customWidth="1"/>
    <col min="9" max="9" width="13.28515625" style="2" bestFit="1" customWidth="1"/>
    <col min="10" max="16384" width="9.140625" style="2"/>
  </cols>
  <sheetData>
    <row r="1" spans="1:9">
      <c r="A1" s="1" t="s">
        <v>180</v>
      </c>
      <c r="B1" s="1" t="s">
        <v>181</v>
      </c>
      <c r="C1" s="1" t="s">
        <v>0</v>
      </c>
      <c r="D1" s="1" t="s">
        <v>95</v>
      </c>
      <c r="E1" s="1" t="s">
        <v>143</v>
      </c>
      <c r="F1" s="1" t="s">
        <v>182</v>
      </c>
      <c r="G1" s="1" t="s">
        <v>183</v>
      </c>
      <c r="H1" s="1" t="s">
        <v>184</v>
      </c>
      <c r="I1" s="3" t="s">
        <v>260</v>
      </c>
    </row>
    <row r="2" spans="1:9">
      <c r="A2" s="2" t="s">
        <v>185</v>
      </c>
      <c r="B2" s="5">
        <v>45698</v>
      </c>
      <c r="C2" s="2" t="s">
        <v>8</v>
      </c>
      <c r="D2" s="2" t="s">
        <v>108</v>
      </c>
      <c r="E2" s="2">
        <v>40</v>
      </c>
      <c r="F2" s="2">
        <v>420</v>
      </c>
      <c r="G2" s="2" t="s">
        <v>186</v>
      </c>
      <c r="H2" s="2">
        <v>28</v>
      </c>
      <c r="I2" s="4">
        <f>E2*F2</f>
        <v>16800</v>
      </c>
    </row>
    <row r="3" spans="1:9">
      <c r="A3" s="2" t="s">
        <v>187</v>
      </c>
      <c r="B3" s="5">
        <v>45699</v>
      </c>
      <c r="C3" s="2" t="s">
        <v>16</v>
      </c>
      <c r="D3" s="2" t="s">
        <v>101</v>
      </c>
      <c r="E3" s="2">
        <v>30</v>
      </c>
      <c r="F3" s="2">
        <v>210</v>
      </c>
      <c r="G3" s="2" t="s">
        <v>188</v>
      </c>
      <c r="H3" s="2">
        <v>21</v>
      </c>
      <c r="I3" s="4">
        <f t="shared" ref="I3:I32" si="0">E3*F3</f>
        <v>6300</v>
      </c>
    </row>
    <row r="4" spans="1:9">
      <c r="A4" s="2" t="s">
        <v>189</v>
      </c>
      <c r="B4" s="5">
        <v>45721</v>
      </c>
      <c r="C4" s="2" t="s">
        <v>51</v>
      </c>
      <c r="D4" s="2" t="s">
        <v>108</v>
      </c>
      <c r="E4" s="2">
        <v>60</v>
      </c>
      <c r="F4" s="2">
        <v>410</v>
      </c>
      <c r="G4" s="2" t="s">
        <v>191</v>
      </c>
      <c r="H4" s="2">
        <v>30</v>
      </c>
      <c r="I4" s="4">
        <f t="shared" si="0"/>
        <v>24600</v>
      </c>
    </row>
    <row r="5" spans="1:9">
      <c r="A5" s="2" t="s">
        <v>192</v>
      </c>
      <c r="B5" s="5">
        <v>45724</v>
      </c>
      <c r="C5" s="2" t="s">
        <v>22</v>
      </c>
      <c r="D5" s="2" t="s">
        <v>101</v>
      </c>
      <c r="E5" s="2">
        <v>15</v>
      </c>
      <c r="F5" s="2">
        <v>215</v>
      </c>
      <c r="G5" s="2" t="s">
        <v>186</v>
      </c>
      <c r="H5" s="2">
        <v>28</v>
      </c>
      <c r="I5" s="4">
        <f t="shared" si="0"/>
        <v>3225</v>
      </c>
    </row>
    <row r="6" spans="1:9">
      <c r="A6" s="2" t="s">
        <v>193</v>
      </c>
      <c r="B6" s="5">
        <v>45731</v>
      </c>
      <c r="C6" s="2" t="s">
        <v>28</v>
      </c>
      <c r="D6" s="2" t="s">
        <v>101</v>
      </c>
      <c r="E6" s="2">
        <v>4</v>
      </c>
      <c r="F6" s="2">
        <v>230</v>
      </c>
      <c r="G6" s="2" t="s">
        <v>194</v>
      </c>
      <c r="H6" s="2">
        <v>0</v>
      </c>
      <c r="I6" s="4">
        <f t="shared" si="0"/>
        <v>920</v>
      </c>
    </row>
    <row r="7" spans="1:9">
      <c r="A7" s="2" t="s">
        <v>195</v>
      </c>
      <c r="B7" s="5">
        <v>45749</v>
      </c>
      <c r="C7" s="2" t="s">
        <v>51</v>
      </c>
      <c r="D7" s="2" t="s">
        <v>101</v>
      </c>
      <c r="E7" s="2">
        <v>70</v>
      </c>
      <c r="F7" s="2">
        <v>205</v>
      </c>
      <c r="G7" s="2" t="s">
        <v>191</v>
      </c>
      <c r="H7" s="2">
        <v>30</v>
      </c>
      <c r="I7" s="4">
        <f t="shared" si="0"/>
        <v>14350</v>
      </c>
    </row>
    <row r="8" spans="1:9">
      <c r="A8" s="2" t="s">
        <v>196</v>
      </c>
      <c r="B8" s="5">
        <v>45759</v>
      </c>
      <c r="C8" s="2" t="s">
        <v>35</v>
      </c>
      <c r="D8" s="2" t="s">
        <v>106</v>
      </c>
      <c r="E8" s="2">
        <v>20</v>
      </c>
      <c r="F8" s="2">
        <v>225</v>
      </c>
      <c r="G8" s="2" t="s">
        <v>186</v>
      </c>
      <c r="H8" s="2">
        <v>28</v>
      </c>
      <c r="I8" s="4">
        <f t="shared" si="0"/>
        <v>4500</v>
      </c>
    </row>
    <row r="9" spans="1:9">
      <c r="A9" s="2" t="s">
        <v>197</v>
      </c>
      <c r="B9" s="5">
        <v>45765</v>
      </c>
      <c r="C9" s="2" t="s">
        <v>40</v>
      </c>
      <c r="D9" s="2" t="s">
        <v>116</v>
      </c>
      <c r="E9" s="2">
        <v>10</v>
      </c>
      <c r="F9" s="2">
        <v>155</v>
      </c>
      <c r="G9" s="2" t="s">
        <v>186</v>
      </c>
      <c r="H9" s="2">
        <v>21</v>
      </c>
      <c r="I9" s="4">
        <f t="shared" si="0"/>
        <v>1550</v>
      </c>
    </row>
    <row r="10" spans="1:9">
      <c r="A10" s="2" t="s">
        <v>198</v>
      </c>
      <c r="B10" s="5">
        <v>45780</v>
      </c>
      <c r="C10" s="2" t="s">
        <v>8</v>
      </c>
      <c r="D10" s="2" t="s">
        <v>111</v>
      </c>
      <c r="E10" s="2">
        <v>30</v>
      </c>
      <c r="F10" s="2">
        <v>95</v>
      </c>
      <c r="G10" s="2" t="s">
        <v>186</v>
      </c>
      <c r="H10" s="2">
        <v>28</v>
      </c>
      <c r="I10" s="4">
        <f t="shared" si="0"/>
        <v>2850</v>
      </c>
    </row>
    <row r="11" spans="1:9">
      <c r="A11" s="2" t="s">
        <v>199</v>
      </c>
      <c r="B11" s="5">
        <v>45787</v>
      </c>
      <c r="C11" s="2" t="s">
        <v>47</v>
      </c>
      <c r="D11" s="2" t="s">
        <v>101</v>
      </c>
      <c r="E11" s="2">
        <v>5</v>
      </c>
      <c r="F11" s="2">
        <v>230</v>
      </c>
      <c r="G11" s="2" t="s">
        <v>194</v>
      </c>
      <c r="H11" s="2">
        <v>0</v>
      </c>
      <c r="I11" s="4">
        <f t="shared" si="0"/>
        <v>1150</v>
      </c>
    </row>
    <row r="12" spans="1:9">
      <c r="A12" s="2" t="s">
        <v>200</v>
      </c>
      <c r="B12" s="5">
        <v>45799</v>
      </c>
      <c r="C12" s="2" t="s">
        <v>51</v>
      </c>
      <c r="D12" s="2" t="s">
        <v>108</v>
      </c>
      <c r="E12" s="2">
        <v>50</v>
      </c>
      <c r="F12" s="2">
        <v>415</v>
      </c>
      <c r="G12" s="2" t="s">
        <v>191</v>
      </c>
      <c r="H12" s="2">
        <v>30</v>
      </c>
      <c r="I12" s="4">
        <f t="shared" si="0"/>
        <v>20750</v>
      </c>
    </row>
    <row r="13" spans="1:9">
      <c r="A13" s="2" t="s">
        <v>201</v>
      </c>
      <c r="B13" s="5">
        <v>45809</v>
      </c>
      <c r="C13" s="2" t="s">
        <v>56</v>
      </c>
      <c r="D13" s="2" t="s">
        <v>101</v>
      </c>
      <c r="E13" s="2">
        <v>25</v>
      </c>
      <c r="F13" s="2">
        <v>210</v>
      </c>
      <c r="G13" s="2" t="s">
        <v>186</v>
      </c>
      <c r="H13" s="2">
        <v>28</v>
      </c>
      <c r="I13" s="4">
        <f t="shared" si="0"/>
        <v>5250</v>
      </c>
    </row>
    <row r="14" spans="1:9">
      <c r="A14" s="2" t="s">
        <v>202</v>
      </c>
      <c r="B14" s="5">
        <v>45813</v>
      </c>
      <c r="C14" s="2" t="s">
        <v>62</v>
      </c>
      <c r="D14" s="2" t="s">
        <v>101</v>
      </c>
      <c r="E14" s="2">
        <v>10</v>
      </c>
      <c r="F14" s="2">
        <v>220</v>
      </c>
      <c r="G14" s="2" t="s">
        <v>188</v>
      </c>
      <c r="H14" s="2">
        <v>21</v>
      </c>
      <c r="I14" s="4">
        <f t="shared" si="0"/>
        <v>2200</v>
      </c>
    </row>
    <row r="15" spans="1:9">
      <c r="A15" s="2" t="s">
        <v>203</v>
      </c>
      <c r="B15" s="5">
        <v>45826</v>
      </c>
      <c r="C15" s="2" t="s">
        <v>16</v>
      </c>
      <c r="D15" s="2" t="s">
        <v>127</v>
      </c>
      <c r="E15" s="2">
        <v>12</v>
      </c>
      <c r="F15" s="2">
        <v>150</v>
      </c>
      <c r="G15" s="2" t="s">
        <v>188</v>
      </c>
      <c r="H15" s="2">
        <v>21</v>
      </c>
      <c r="I15" s="4">
        <f t="shared" si="0"/>
        <v>1800</v>
      </c>
    </row>
    <row r="16" spans="1:9">
      <c r="A16" s="2" t="s">
        <v>205</v>
      </c>
      <c r="B16" s="5">
        <v>45842</v>
      </c>
      <c r="C16" s="2" t="s">
        <v>22</v>
      </c>
      <c r="D16" s="2" t="s">
        <v>124</v>
      </c>
      <c r="E16" s="2">
        <v>8</v>
      </c>
      <c r="F16" s="2">
        <v>260</v>
      </c>
      <c r="G16" s="2" t="s">
        <v>186</v>
      </c>
      <c r="H16" s="2">
        <v>28</v>
      </c>
      <c r="I16" s="4">
        <f t="shared" si="0"/>
        <v>2080</v>
      </c>
    </row>
    <row r="17" spans="1:9">
      <c r="A17" s="2" t="s">
        <v>206</v>
      </c>
      <c r="B17" s="5">
        <v>45858</v>
      </c>
      <c r="C17" s="2" t="s">
        <v>8</v>
      </c>
      <c r="D17" s="2" t="s">
        <v>108</v>
      </c>
      <c r="E17" s="2">
        <v>35</v>
      </c>
      <c r="F17" s="2">
        <v>420</v>
      </c>
      <c r="G17" s="2" t="s">
        <v>186</v>
      </c>
      <c r="H17" s="2">
        <v>28</v>
      </c>
      <c r="I17" s="4">
        <f t="shared" si="0"/>
        <v>14700</v>
      </c>
    </row>
    <row r="18" spans="1:9">
      <c r="A18" s="2" t="s">
        <v>207</v>
      </c>
      <c r="B18" s="5">
        <v>45871</v>
      </c>
      <c r="C18" s="2" t="s">
        <v>51</v>
      </c>
      <c r="D18" s="2" t="s">
        <v>101</v>
      </c>
      <c r="E18" s="2">
        <v>80</v>
      </c>
      <c r="F18" s="2">
        <v>205</v>
      </c>
      <c r="G18" s="2" t="s">
        <v>191</v>
      </c>
      <c r="H18" s="2">
        <v>30</v>
      </c>
      <c r="I18" s="4">
        <f t="shared" si="0"/>
        <v>16400</v>
      </c>
    </row>
    <row r="19" spans="1:9">
      <c r="A19" s="2" t="s">
        <v>208</v>
      </c>
      <c r="B19" s="5">
        <v>45884</v>
      </c>
      <c r="C19" s="2" t="s">
        <v>35</v>
      </c>
      <c r="D19" s="2" t="s">
        <v>101</v>
      </c>
      <c r="E19" s="2">
        <v>18</v>
      </c>
      <c r="F19" s="2">
        <v>220</v>
      </c>
      <c r="G19" s="2" t="s">
        <v>186</v>
      </c>
      <c r="H19" s="2">
        <v>28</v>
      </c>
      <c r="I19" s="4">
        <f t="shared" si="0"/>
        <v>3960</v>
      </c>
    </row>
    <row r="20" spans="1:9">
      <c r="A20" s="2" t="s">
        <v>209</v>
      </c>
      <c r="B20" s="5">
        <v>45901</v>
      </c>
      <c r="C20" s="2" t="s">
        <v>40</v>
      </c>
      <c r="D20" s="2" t="s">
        <v>121</v>
      </c>
      <c r="E20" s="2">
        <v>7</v>
      </c>
      <c r="F20" s="2">
        <v>190</v>
      </c>
      <c r="G20" s="2" t="s">
        <v>186</v>
      </c>
      <c r="H20" s="2">
        <v>21</v>
      </c>
      <c r="I20" s="4">
        <f t="shared" si="0"/>
        <v>1330</v>
      </c>
    </row>
    <row r="21" spans="1:9">
      <c r="A21" s="2" t="s">
        <v>210</v>
      </c>
      <c r="B21" s="5">
        <v>45910</v>
      </c>
      <c r="C21" s="2" t="s">
        <v>56</v>
      </c>
      <c r="D21" s="2" t="s">
        <v>106</v>
      </c>
      <c r="E21" s="2">
        <v>15</v>
      </c>
      <c r="F21" s="2">
        <v>230</v>
      </c>
      <c r="G21" s="2" t="s">
        <v>186</v>
      </c>
      <c r="H21" s="2">
        <v>28</v>
      </c>
      <c r="I21" s="4">
        <f t="shared" si="0"/>
        <v>3450</v>
      </c>
    </row>
    <row r="22" spans="1:9">
      <c r="A22" s="2" t="s">
        <v>211</v>
      </c>
      <c r="B22" s="5">
        <v>45925</v>
      </c>
      <c r="C22" s="2" t="s">
        <v>8</v>
      </c>
      <c r="D22" s="2" t="s">
        <v>137</v>
      </c>
      <c r="E22" s="2">
        <v>20</v>
      </c>
      <c r="F22" s="2">
        <v>160</v>
      </c>
      <c r="G22" s="2" t="s">
        <v>186</v>
      </c>
      <c r="H22" s="2">
        <v>28</v>
      </c>
      <c r="I22" s="4">
        <f t="shared" si="0"/>
        <v>3200</v>
      </c>
    </row>
    <row r="23" spans="1:9">
      <c r="A23" s="2" t="s">
        <v>212</v>
      </c>
      <c r="B23" s="5">
        <v>45935</v>
      </c>
      <c r="C23" s="2" t="s">
        <v>51</v>
      </c>
      <c r="D23" s="2" t="s">
        <v>108</v>
      </c>
      <c r="E23" s="2">
        <v>70</v>
      </c>
      <c r="F23" s="2">
        <v>415</v>
      </c>
      <c r="G23" s="2" t="s">
        <v>191</v>
      </c>
      <c r="H23" s="2">
        <v>30</v>
      </c>
      <c r="I23" s="4">
        <f t="shared" si="0"/>
        <v>29050</v>
      </c>
    </row>
    <row r="24" spans="1:9">
      <c r="A24" s="2" t="s">
        <v>214</v>
      </c>
      <c r="B24" s="5">
        <v>45948</v>
      </c>
      <c r="C24" s="2" t="s">
        <v>62</v>
      </c>
      <c r="D24" s="2" t="s">
        <v>124</v>
      </c>
      <c r="E24" s="2">
        <v>6</v>
      </c>
      <c r="F24" s="2">
        <v>265</v>
      </c>
      <c r="G24" s="2" t="s">
        <v>186</v>
      </c>
      <c r="H24" s="2">
        <v>28</v>
      </c>
      <c r="I24" s="4">
        <f t="shared" si="0"/>
        <v>1590</v>
      </c>
    </row>
    <row r="25" spans="1:9">
      <c r="A25" s="2" t="s">
        <v>215</v>
      </c>
      <c r="B25" s="5">
        <v>45964</v>
      </c>
      <c r="C25" s="2" t="s">
        <v>16</v>
      </c>
      <c r="D25" s="2" t="s">
        <v>101</v>
      </c>
      <c r="E25" s="2">
        <v>22</v>
      </c>
      <c r="F25" s="2">
        <v>215</v>
      </c>
      <c r="G25" s="2" t="s">
        <v>188</v>
      </c>
      <c r="H25" s="2">
        <v>21</v>
      </c>
      <c r="I25" s="4">
        <f t="shared" si="0"/>
        <v>4730</v>
      </c>
    </row>
    <row r="26" spans="1:9">
      <c r="A26" s="2" t="s">
        <v>216</v>
      </c>
      <c r="B26" s="5">
        <v>45973</v>
      </c>
      <c r="C26" s="2" t="s">
        <v>22</v>
      </c>
      <c r="D26" s="2" t="s">
        <v>101</v>
      </c>
      <c r="E26" s="2">
        <v>12</v>
      </c>
      <c r="F26" s="2">
        <v>220</v>
      </c>
      <c r="G26" s="2" t="s">
        <v>186</v>
      </c>
      <c r="H26" s="2">
        <v>28</v>
      </c>
      <c r="I26" s="4">
        <f t="shared" si="0"/>
        <v>2640</v>
      </c>
    </row>
    <row r="27" spans="1:9">
      <c r="A27" s="2" t="s">
        <v>217</v>
      </c>
      <c r="B27" s="5">
        <v>45989</v>
      </c>
      <c r="C27" s="2" t="s">
        <v>51</v>
      </c>
      <c r="D27" s="2" t="s">
        <v>124</v>
      </c>
      <c r="E27" s="2">
        <v>25</v>
      </c>
      <c r="F27" s="2">
        <v>280</v>
      </c>
      <c r="G27" s="2" t="s">
        <v>191</v>
      </c>
      <c r="H27" s="2">
        <v>30</v>
      </c>
      <c r="I27" s="4">
        <f t="shared" si="0"/>
        <v>7000</v>
      </c>
    </row>
    <row r="28" spans="1:9">
      <c r="A28" s="2" t="s">
        <v>218</v>
      </c>
      <c r="B28" s="5">
        <v>45996</v>
      </c>
      <c r="C28" s="2" t="s">
        <v>8</v>
      </c>
      <c r="D28" s="2" t="s">
        <v>101</v>
      </c>
      <c r="E28" s="2">
        <v>30</v>
      </c>
      <c r="F28" s="2">
        <v>210</v>
      </c>
      <c r="G28" s="2" t="s">
        <v>186</v>
      </c>
      <c r="H28" s="2">
        <v>28</v>
      </c>
      <c r="I28" s="4">
        <f t="shared" si="0"/>
        <v>6300</v>
      </c>
    </row>
    <row r="29" spans="1:9">
      <c r="A29" s="2" t="s">
        <v>219</v>
      </c>
      <c r="B29" s="5">
        <v>46006</v>
      </c>
      <c r="C29" s="2" t="s">
        <v>35</v>
      </c>
      <c r="D29" s="2" t="s">
        <v>101</v>
      </c>
      <c r="E29" s="2">
        <v>20</v>
      </c>
      <c r="F29" s="2">
        <v>215</v>
      </c>
      <c r="G29" s="2" t="s">
        <v>186</v>
      </c>
      <c r="H29" s="2">
        <v>28</v>
      </c>
      <c r="I29" s="4">
        <f t="shared" si="0"/>
        <v>4300</v>
      </c>
    </row>
    <row r="30" spans="1:9">
      <c r="A30" s="2" t="s">
        <v>220</v>
      </c>
      <c r="B30" s="5">
        <v>46011</v>
      </c>
      <c r="C30" s="2" t="s">
        <v>51</v>
      </c>
      <c r="D30" s="2" t="s">
        <v>127</v>
      </c>
      <c r="E30" s="2">
        <v>35</v>
      </c>
      <c r="F30" s="2">
        <v>155</v>
      </c>
      <c r="G30" s="2" t="s">
        <v>191</v>
      </c>
      <c r="H30" s="2">
        <v>30</v>
      </c>
      <c r="I30" s="4">
        <f t="shared" si="0"/>
        <v>5425</v>
      </c>
    </row>
    <row r="31" spans="1:9">
      <c r="A31" s="2" t="s">
        <v>221</v>
      </c>
      <c r="B31" s="5">
        <v>46032</v>
      </c>
      <c r="C31" s="2" t="s">
        <v>56</v>
      </c>
      <c r="D31" s="2" t="s">
        <v>101</v>
      </c>
      <c r="E31" s="2">
        <v>18</v>
      </c>
      <c r="F31" s="2">
        <v>212</v>
      </c>
      <c r="G31" s="2" t="s">
        <v>186</v>
      </c>
      <c r="H31" s="2">
        <v>28</v>
      </c>
      <c r="I31" s="4">
        <f t="shared" si="0"/>
        <v>3816</v>
      </c>
    </row>
    <row r="32" spans="1:9">
      <c r="A32" s="2" t="s">
        <v>261</v>
      </c>
      <c r="B32" s="5">
        <v>46065</v>
      </c>
      <c r="C32" s="2" t="s">
        <v>56</v>
      </c>
      <c r="D32" s="2" t="s">
        <v>101</v>
      </c>
      <c r="E32" s="2">
        <v>10</v>
      </c>
      <c r="F32" s="2">
        <v>212</v>
      </c>
      <c r="G32" s="2" t="s">
        <v>186</v>
      </c>
      <c r="H32" s="2">
        <v>28</v>
      </c>
      <c r="I32" s="6">
        <f t="shared" si="0"/>
        <v>2120</v>
      </c>
    </row>
  </sheetData>
  <autoFilter ref="A1:I32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workbookViewId="0">
      <selection activeCell="E20" sqref="E20"/>
    </sheetView>
  </sheetViews>
  <sheetFormatPr defaultRowHeight="15"/>
  <cols>
    <col min="1" max="1" width="17.85546875" style="2" bestFit="1" customWidth="1"/>
    <col min="2" max="2" width="10.7109375" style="2" bestFit="1" customWidth="1"/>
    <col min="3" max="3" width="13.7109375" style="2" bestFit="1" customWidth="1"/>
    <col min="4" max="4" width="10.85546875" style="2" bestFit="1" customWidth="1"/>
    <col min="5" max="5" width="11.140625" style="2" bestFit="1" customWidth="1"/>
    <col min="6" max="6" width="14.140625" style="2" bestFit="1" customWidth="1"/>
    <col min="7" max="7" width="11" style="2" bestFit="1" customWidth="1"/>
    <col min="8" max="8" width="16.5703125" style="2" bestFit="1" customWidth="1"/>
    <col min="9" max="16384" width="9.140625" style="2"/>
  </cols>
  <sheetData>
    <row r="1" spans="1:9">
      <c r="A1" s="1" t="s">
        <v>222</v>
      </c>
      <c r="B1" s="1" t="s">
        <v>181</v>
      </c>
      <c r="C1" s="1" t="s">
        <v>66</v>
      </c>
      <c r="D1" s="1" t="s">
        <v>95</v>
      </c>
      <c r="E1" s="1" t="s">
        <v>143</v>
      </c>
      <c r="F1" s="1" t="s">
        <v>182</v>
      </c>
      <c r="G1" s="1" t="s">
        <v>223</v>
      </c>
      <c r="H1" s="1" t="s">
        <v>224</v>
      </c>
      <c r="I1" s="1" t="s">
        <v>263</v>
      </c>
    </row>
    <row r="2" spans="1:9">
      <c r="A2" s="2" t="s">
        <v>225</v>
      </c>
      <c r="B2" s="5">
        <v>45677</v>
      </c>
      <c r="C2" s="2" t="s">
        <v>71</v>
      </c>
      <c r="D2" s="2" t="s">
        <v>101</v>
      </c>
      <c r="E2" s="2">
        <v>500</v>
      </c>
      <c r="F2" s="2">
        <v>150</v>
      </c>
      <c r="G2" s="2" t="s">
        <v>226</v>
      </c>
      <c r="H2" s="2" t="s">
        <v>227</v>
      </c>
      <c r="I2" s="2">
        <f>E2*F2</f>
        <v>75000</v>
      </c>
    </row>
    <row r="3" spans="1:9">
      <c r="A3" s="2" t="s">
        <v>228</v>
      </c>
      <c r="B3" s="5">
        <v>45703</v>
      </c>
      <c r="C3" s="2" t="s">
        <v>76</v>
      </c>
      <c r="D3" s="2" t="s">
        <v>108</v>
      </c>
      <c r="E3" s="2">
        <v>150</v>
      </c>
      <c r="F3" s="2">
        <v>320</v>
      </c>
      <c r="G3" s="2" t="s">
        <v>226</v>
      </c>
      <c r="H3" s="2" t="s">
        <v>190</v>
      </c>
      <c r="I3" s="2">
        <f t="shared" ref="I3:I11" si="0">E3*F3</f>
        <v>48000</v>
      </c>
    </row>
    <row r="4" spans="1:9">
      <c r="A4" s="2" t="s">
        <v>229</v>
      </c>
      <c r="B4" s="5">
        <v>45726</v>
      </c>
      <c r="C4" s="2" t="s">
        <v>81</v>
      </c>
      <c r="D4" s="2" t="s">
        <v>116</v>
      </c>
      <c r="E4" s="2">
        <v>100</v>
      </c>
      <c r="F4" s="2">
        <v>110</v>
      </c>
      <c r="G4" s="2" t="s">
        <v>226</v>
      </c>
      <c r="H4" s="2" t="s">
        <v>230</v>
      </c>
      <c r="I4" s="2">
        <f t="shared" si="0"/>
        <v>11000</v>
      </c>
    </row>
    <row r="5" spans="1:9">
      <c r="A5" s="2" t="s">
        <v>231</v>
      </c>
      <c r="B5" s="5">
        <v>45726</v>
      </c>
      <c r="C5" s="2" t="s">
        <v>81</v>
      </c>
      <c r="D5" s="2" t="s">
        <v>121</v>
      </c>
      <c r="E5" s="2">
        <v>80</v>
      </c>
      <c r="F5" s="2">
        <v>135</v>
      </c>
      <c r="G5" s="2" t="s">
        <v>226</v>
      </c>
      <c r="H5" s="2" t="s">
        <v>230</v>
      </c>
      <c r="I5" s="2">
        <f t="shared" si="0"/>
        <v>10800</v>
      </c>
    </row>
    <row r="6" spans="1:9">
      <c r="A6" s="2" t="s">
        <v>232</v>
      </c>
      <c r="B6" s="5">
        <v>45752</v>
      </c>
      <c r="C6" s="2" t="s">
        <v>71</v>
      </c>
      <c r="D6" s="2" t="s">
        <v>106</v>
      </c>
      <c r="E6" s="2">
        <v>300</v>
      </c>
      <c r="F6" s="2">
        <v>155</v>
      </c>
      <c r="G6" s="2" t="s">
        <v>226</v>
      </c>
      <c r="H6" s="2" t="s">
        <v>233</v>
      </c>
      <c r="I6" s="2">
        <f t="shared" si="0"/>
        <v>46500</v>
      </c>
    </row>
    <row r="7" spans="1:9">
      <c r="A7" s="2" t="s">
        <v>234</v>
      </c>
      <c r="B7" s="5">
        <v>45789</v>
      </c>
      <c r="C7" s="2" t="s">
        <v>86</v>
      </c>
      <c r="D7" s="2" t="s">
        <v>132</v>
      </c>
      <c r="E7" s="2">
        <v>120</v>
      </c>
      <c r="F7" s="2">
        <v>70</v>
      </c>
      <c r="G7" s="2" t="s">
        <v>226</v>
      </c>
      <c r="H7" s="2" t="s">
        <v>235</v>
      </c>
      <c r="I7" s="2">
        <f t="shared" si="0"/>
        <v>8400</v>
      </c>
    </row>
    <row r="8" spans="1:9">
      <c r="A8" s="2" t="s">
        <v>236</v>
      </c>
      <c r="B8" s="5">
        <v>45809</v>
      </c>
      <c r="C8" s="2" t="s">
        <v>91</v>
      </c>
      <c r="D8" s="2" t="s">
        <v>124</v>
      </c>
      <c r="E8" s="2">
        <v>150</v>
      </c>
      <c r="F8" s="2">
        <v>190</v>
      </c>
      <c r="G8" s="2" t="s">
        <v>226</v>
      </c>
      <c r="H8" s="2" t="s">
        <v>204</v>
      </c>
      <c r="I8" s="2">
        <f t="shared" si="0"/>
        <v>28500</v>
      </c>
    </row>
    <row r="9" spans="1:9">
      <c r="A9" s="2" t="s">
        <v>237</v>
      </c>
      <c r="B9" s="5">
        <v>45884</v>
      </c>
      <c r="C9" s="2" t="s">
        <v>71</v>
      </c>
      <c r="D9" s="2" t="s">
        <v>101</v>
      </c>
      <c r="E9" s="2">
        <v>400</v>
      </c>
      <c r="F9" s="2">
        <v>152</v>
      </c>
      <c r="G9" s="2" t="s">
        <v>238</v>
      </c>
      <c r="H9" s="2" t="s">
        <v>239</v>
      </c>
      <c r="I9" s="2">
        <f t="shared" si="0"/>
        <v>60800</v>
      </c>
    </row>
    <row r="10" spans="1:9">
      <c r="A10" s="2" t="s">
        <v>240</v>
      </c>
      <c r="B10" s="5">
        <v>45920</v>
      </c>
      <c r="C10" s="2" t="s">
        <v>76</v>
      </c>
      <c r="D10" s="2" t="s">
        <v>137</v>
      </c>
      <c r="E10" s="2">
        <v>100</v>
      </c>
      <c r="F10" s="2">
        <v>115</v>
      </c>
      <c r="G10" s="2" t="s">
        <v>226</v>
      </c>
      <c r="H10" s="2" t="s">
        <v>213</v>
      </c>
      <c r="I10" s="2">
        <f t="shared" si="0"/>
        <v>11500</v>
      </c>
    </row>
    <row r="11" spans="1:9">
      <c r="A11" s="2" t="s">
        <v>241</v>
      </c>
      <c r="B11" s="5">
        <v>45955</v>
      </c>
      <c r="C11" s="2" t="s">
        <v>71</v>
      </c>
      <c r="D11" s="2" t="s">
        <v>127</v>
      </c>
      <c r="E11" s="2">
        <v>200</v>
      </c>
      <c r="F11" s="2">
        <v>100</v>
      </c>
      <c r="G11" s="2" t="s">
        <v>226</v>
      </c>
      <c r="H11" s="2" t="s">
        <v>242</v>
      </c>
      <c r="I11" s="2">
        <f t="shared" si="0"/>
        <v>20000</v>
      </c>
    </row>
  </sheetData>
  <autoFilter ref="A1:H11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tabSelected="1" workbookViewId="0">
      <selection activeCell="E11" sqref="E11"/>
    </sheetView>
  </sheetViews>
  <sheetFormatPr defaultRowHeight="15"/>
  <cols>
    <col min="1" max="1" width="12.85546875" style="2" bestFit="1" customWidth="1"/>
    <col min="2" max="2" width="10.7109375" style="2" bestFit="1" customWidth="1"/>
    <col min="3" max="3" width="9.85546875" style="2" bestFit="1" customWidth="1"/>
    <col min="4" max="4" width="10.85546875" style="2" bestFit="1" customWidth="1"/>
    <col min="5" max="5" width="18" style="2" bestFit="1" customWidth="1"/>
    <col min="6" max="6" width="11.140625" style="2" bestFit="1" customWidth="1"/>
    <col min="7" max="7" width="34.28515625" style="2" bestFit="1" customWidth="1"/>
    <col min="8" max="16384" width="9.140625" style="2"/>
  </cols>
  <sheetData>
    <row r="1" spans="1:7">
      <c r="A1" s="1" t="s">
        <v>243</v>
      </c>
      <c r="B1" s="1" t="s">
        <v>181</v>
      </c>
      <c r="C1" s="1" t="s">
        <v>0</v>
      </c>
      <c r="D1" s="1" t="s">
        <v>95</v>
      </c>
      <c r="E1" s="1" t="s">
        <v>244</v>
      </c>
      <c r="F1" s="1" t="s">
        <v>143</v>
      </c>
      <c r="G1" s="1" t="s">
        <v>245</v>
      </c>
    </row>
    <row r="2" spans="1:7">
      <c r="A2" s="2" t="s">
        <v>246</v>
      </c>
      <c r="B2" s="5">
        <v>45767</v>
      </c>
      <c r="C2" s="2" t="s">
        <v>22</v>
      </c>
      <c r="D2" s="2" t="s">
        <v>101</v>
      </c>
      <c r="E2" s="2" t="s">
        <v>247</v>
      </c>
      <c r="F2" s="2">
        <v>12</v>
      </c>
      <c r="G2" s="2" t="s">
        <v>248</v>
      </c>
    </row>
    <row r="3" spans="1:7">
      <c r="A3" s="2" t="s">
        <v>249</v>
      </c>
      <c r="B3" s="5">
        <v>45818</v>
      </c>
      <c r="C3" s="2" t="s">
        <v>16</v>
      </c>
      <c r="D3" s="2" t="s">
        <v>127</v>
      </c>
      <c r="E3" s="2" t="s">
        <v>250</v>
      </c>
      <c r="F3" s="2">
        <v>8</v>
      </c>
      <c r="G3" s="2" t="s">
        <v>251</v>
      </c>
    </row>
    <row r="4" spans="1:7">
      <c r="A4" s="2" t="s">
        <v>252</v>
      </c>
      <c r="B4" s="5">
        <v>45856</v>
      </c>
      <c r="C4" s="2" t="s">
        <v>40</v>
      </c>
      <c r="D4" s="2" t="s">
        <v>116</v>
      </c>
      <c r="E4" s="2" t="s">
        <v>253</v>
      </c>
      <c r="F4" s="2">
        <v>5</v>
      </c>
      <c r="G4" s="2" t="s">
        <v>254</v>
      </c>
    </row>
    <row r="5" spans="1:7">
      <c r="A5" s="2" t="s">
        <v>255</v>
      </c>
      <c r="B5" s="5">
        <v>45922</v>
      </c>
      <c r="C5" s="2" t="s">
        <v>8</v>
      </c>
      <c r="D5" s="2" t="s">
        <v>101</v>
      </c>
      <c r="E5" s="2" t="s">
        <v>256</v>
      </c>
      <c r="F5" s="2">
        <v>20</v>
      </c>
      <c r="G5" s="2" t="s">
        <v>257</v>
      </c>
    </row>
    <row r="6" spans="1:7">
      <c r="A6" s="2" t="s">
        <v>258</v>
      </c>
      <c r="B6" s="5">
        <v>45960</v>
      </c>
      <c r="C6" s="2" t="s">
        <v>51</v>
      </c>
      <c r="D6" s="2" t="s">
        <v>101</v>
      </c>
      <c r="E6" s="2" t="s">
        <v>247</v>
      </c>
      <c r="F6" s="2">
        <v>30</v>
      </c>
      <c r="G6" s="2" t="s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Clientes</vt:lpstr>
      <vt:lpstr>Fornecedores</vt:lpstr>
      <vt:lpstr>Produtos</vt:lpstr>
      <vt:lpstr>Estoque_CD</vt:lpstr>
      <vt:lpstr>Vendas</vt:lpstr>
      <vt:lpstr>Pedidos_Compra</vt:lpstr>
      <vt:lpstr>Devolucoes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Ramalho</cp:lastModifiedBy>
  <dcterms:created xsi:type="dcterms:W3CDTF">2026-02-12T13:22:40Z</dcterms:created>
  <dcterms:modified xsi:type="dcterms:W3CDTF">2026-02-17T15:57:08Z</dcterms:modified>
</cp:coreProperties>
</file>