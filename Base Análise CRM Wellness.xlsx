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779BB581-5669-42A8-8C48-8E5D6FD52FB3}" xr6:coauthVersionLast="47" xr6:coauthVersionMax="47" xr10:uidLastSave="{00000000-0000-0000-0000-000000000000}"/>
  <bookViews>
    <workbookView xWindow="-120" yWindow="-120" windowWidth="29040" windowHeight="15840" activeTab="6" xr2:uid="{32D77340-E9E6-48AF-8C6C-808E366A44F2}"/>
  </bookViews>
  <sheets>
    <sheet name="Dados Brutos" sheetId="1" r:id="rId1"/>
    <sheet name="Observações" sheetId="4" r:id="rId2"/>
    <sheet name="Dados Tratados" sheetId="2" r:id="rId3"/>
    <sheet name="Análises de Faixa Etária" sheetId="8" state="hidden" r:id="rId4"/>
    <sheet name="Gráficos" sheetId="9" state="hidden" r:id="rId5"/>
    <sheet name="Tabela Dinâmica" sheetId="5" state="hidden" r:id="rId6"/>
    <sheet name="Dashboard" sheetId="3" r:id="rId7"/>
  </sheets>
  <definedNames>
    <definedName name="_xlnm._FilterDatabase" localSheetId="0" hidden="1">'Dados Brutos'!$A$1:$T$181</definedName>
    <definedName name="_xlnm._FilterDatabase" localSheetId="2" hidden="1">'Dados Tratados'!$A$1:$S$181</definedName>
    <definedName name="_xlcn.WorksheetConnection_BaseREal.xlsxTabela11" hidden="1">Tabela1[]</definedName>
  </definedNames>
  <calcPr calcId="191029"/>
  <pivotCaches>
    <pivotCache cacheId="104" r:id="rId8"/>
    <pivotCache cacheId="141" r:id="rId9"/>
    <pivotCache cacheId="182" r:id="rId10"/>
    <pivotCache cacheId="189" r:id="rId11"/>
    <pivotCache cacheId="221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" name="Tabela1" connection="WorksheetConnection_Base REal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2" l="1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G32" i="2"/>
  <c r="AG31" i="2"/>
  <c r="AG30" i="2"/>
  <c r="AG29" i="2"/>
  <c r="AG28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2" i="2"/>
  <c r="AG25" i="2"/>
  <c r="AG24" i="2"/>
  <c r="AG23" i="2"/>
  <c r="AG22" i="2"/>
  <c r="AG21" i="2"/>
  <c r="AG18" i="2"/>
  <c r="AG17" i="2"/>
  <c r="AG16" i="2"/>
  <c r="AG15" i="2"/>
  <c r="AG14" i="2"/>
  <c r="AG11" i="2"/>
  <c r="AG10" i="2"/>
  <c r="AG9" i="2"/>
  <c r="AG8" i="2"/>
  <c r="AG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AG4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J13" i="5"/>
  <c r="J14" i="5"/>
  <c r="J12" i="5"/>
  <c r="J4" i="5"/>
  <c r="J5" i="5"/>
  <c r="J6" i="5"/>
  <c r="J7" i="5"/>
  <c r="J8" i="5"/>
  <c r="J3" i="5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U3" i="2"/>
  <c r="U4" i="2"/>
  <c r="U11" i="2"/>
  <c r="U12" i="2"/>
  <c r="U19" i="2"/>
  <c r="U20" i="2"/>
  <c r="U27" i="2"/>
  <c r="U28" i="2"/>
  <c r="U35" i="2"/>
  <c r="U36" i="2"/>
  <c r="U43" i="2"/>
  <c r="U44" i="2"/>
  <c r="U51" i="2"/>
  <c r="U52" i="2"/>
  <c r="U59" i="2"/>
  <c r="U60" i="2"/>
  <c r="U67" i="2"/>
  <c r="U68" i="2"/>
  <c r="U75" i="2"/>
  <c r="U76" i="2"/>
  <c r="U83" i="2"/>
  <c r="U84" i="2"/>
  <c r="U91" i="2"/>
  <c r="U92" i="2"/>
  <c r="U99" i="2"/>
  <c r="U100" i="2"/>
  <c r="U107" i="2"/>
  <c r="U108" i="2"/>
  <c r="U115" i="2"/>
  <c r="U116" i="2"/>
  <c r="U123" i="2"/>
  <c r="U124" i="2"/>
  <c r="U131" i="2"/>
  <c r="U132" i="2"/>
  <c r="U139" i="2"/>
  <c r="U140" i="2"/>
  <c r="U147" i="2"/>
  <c r="U148" i="2"/>
  <c r="U155" i="2"/>
  <c r="U156" i="2"/>
  <c r="U163" i="2"/>
  <c r="U164" i="2"/>
  <c r="U171" i="2"/>
  <c r="U172" i="2"/>
  <c r="U177" i="2"/>
  <c r="U179" i="2"/>
  <c r="U180" i="2"/>
  <c r="U181" i="2"/>
  <c r="M4" i="5"/>
  <c r="U54" i="2" s="1"/>
  <c r="M5" i="5"/>
  <c r="U14" i="2" s="1"/>
  <c r="M6" i="5"/>
  <c r="U22" i="2" s="1"/>
  <c r="M7" i="5"/>
  <c r="U70" i="2" s="1"/>
  <c r="M3" i="5"/>
  <c r="U6" i="2" s="1"/>
  <c r="T39" i="2"/>
  <c r="T130" i="2"/>
  <c r="T131" i="2"/>
  <c r="T81" i="2"/>
  <c r="T2" i="2"/>
  <c r="T132" i="2"/>
  <c r="T133" i="2"/>
  <c r="T3" i="2"/>
  <c r="T82" i="2"/>
  <c r="T83" i="2"/>
  <c r="T40" i="2"/>
  <c r="T134" i="2"/>
  <c r="T135" i="2"/>
  <c r="T84" i="2"/>
  <c r="T136" i="2"/>
  <c r="T4" i="2"/>
  <c r="T85" i="2"/>
  <c r="T41" i="2"/>
  <c r="T137" i="2"/>
  <c r="T5" i="2"/>
  <c r="T42" i="2"/>
  <c r="T138" i="2"/>
  <c r="T43" i="2"/>
  <c r="T44" i="2"/>
  <c r="T86" i="2"/>
  <c r="T139" i="2"/>
  <c r="T6" i="2"/>
  <c r="T45" i="2"/>
  <c r="T87" i="2"/>
  <c r="T7" i="2"/>
  <c r="T140" i="2"/>
  <c r="T8" i="2"/>
  <c r="T88" i="2"/>
  <c r="T9" i="2"/>
  <c r="T89" i="2"/>
  <c r="T90" i="2"/>
  <c r="T46" i="2"/>
  <c r="T47" i="2"/>
  <c r="T141" i="2"/>
  <c r="T91" i="2"/>
  <c r="T142" i="2"/>
  <c r="T10" i="2"/>
  <c r="T143" i="2"/>
  <c r="T92" i="2"/>
  <c r="T144" i="2"/>
  <c r="T145" i="2"/>
  <c r="T48" i="2"/>
  <c r="T49" i="2"/>
  <c r="T93" i="2"/>
  <c r="T146" i="2"/>
  <c r="T147" i="2"/>
  <c r="T94" i="2"/>
  <c r="T95" i="2"/>
  <c r="T50" i="2"/>
  <c r="T148" i="2"/>
  <c r="T51" i="2"/>
  <c r="T11" i="2"/>
  <c r="T12" i="2"/>
  <c r="T52" i="2"/>
  <c r="T149" i="2"/>
  <c r="T53" i="2"/>
  <c r="T150" i="2"/>
  <c r="T54" i="2"/>
  <c r="T13" i="2"/>
  <c r="T14" i="2"/>
  <c r="T96" i="2"/>
  <c r="T151" i="2"/>
  <c r="T152" i="2"/>
  <c r="T97" i="2"/>
  <c r="T55" i="2"/>
  <c r="T98" i="2"/>
  <c r="T15" i="2"/>
  <c r="T16" i="2"/>
  <c r="T153" i="2"/>
  <c r="T56" i="2"/>
  <c r="T99" i="2"/>
  <c r="T17" i="2"/>
  <c r="T100" i="2"/>
  <c r="T57" i="2"/>
  <c r="T18" i="2"/>
  <c r="T154" i="2"/>
  <c r="T101" i="2"/>
  <c r="T58" i="2"/>
  <c r="T102" i="2"/>
  <c r="T103" i="2"/>
  <c r="T104" i="2"/>
  <c r="T105" i="2"/>
  <c r="T19" i="2"/>
  <c r="T155" i="2"/>
  <c r="T106" i="2"/>
  <c r="T107" i="2"/>
  <c r="T108" i="2"/>
  <c r="T20" i="2"/>
  <c r="T156" i="2"/>
  <c r="T59" i="2"/>
  <c r="T157" i="2"/>
  <c r="T21" i="2"/>
  <c r="T60" i="2"/>
  <c r="T158" i="2"/>
  <c r="T159" i="2"/>
  <c r="T61" i="2"/>
  <c r="T109" i="2"/>
  <c r="T62" i="2"/>
  <c r="T63" i="2"/>
  <c r="T22" i="2"/>
  <c r="T160" i="2"/>
  <c r="T23" i="2"/>
  <c r="T24" i="2"/>
  <c r="T25" i="2"/>
  <c r="T64" i="2"/>
  <c r="T110" i="2"/>
  <c r="T161" i="2"/>
  <c r="T26" i="2"/>
  <c r="T162" i="2"/>
  <c r="T163" i="2"/>
  <c r="T164" i="2"/>
  <c r="T165" i="2"/>
  <c r="T65" i="2"/>
  <c r="T66" i="2"/>
  <c r="T111" i="2"/>
  <c r="T27" i="2"/>
  <c r="T67" i="2"/>
  <c r="T166" i="2"/>
  <c r="T28" i="2"/>
  <c r="T112" i="2"/>
  <c r="T29" i="2"/>
  <c r="T167" i="2"/>
  <c r="T68" i="2"/>
  <c r="T30" i="2"/>
  <c r="T113" i="2"/>
  <c r="T168" i="2"/>
  <c r="T114" i="2"/>
  <c r="T169" i="2"/>
  <c r="T115" i="2"/>
  <c r="T116" i="2"/>
  <c r="T69" i="2"/>
  <c r="T117" i="2"/>
  <c r="T70" i="2"/>
  <c r="T118" i="2"/>
  <c r="T170" i="2"/>
  <c r="T71" i="2"/>
  <c r="T171" i="2"/>
  <c r="T119" i="2"/>
  <c r="T72" i="2"/>
  <c r="T120" i="2"/>
  <c r="T73" i="2"/>
  <c r="T121" i="2"/>
  <c r="T172" i="2"/>
  <c r="T173" i="2"/>
  <c r="T74" i="2"/>
  <c r="T31" i="2"/>
  <c r="T122" i="2"/>
  <c r="T32" i="2"/>
  <c r="T174" i="2"/>
  <c r="T175" i="2"/>
  <c r="T123" i="2"/>
  <c r="T124" i="2"/>
  <c r="T125" i="2"/>
  <c r="T75" i="2"/>
  <c r="T176" i="2"/>
  <c r="T177" i="2"/>
  <c r="T126" i="2"/>
  <c r="T127" i="2"/>
  <c r="T128" i="2"/>
  <c r="T178" i="2"/>
  <c r="T33" i="2"/>
  <c r="T76" i="2"/>
  <c r="T179" i="2"/>
  <c r="T77" i="2"/>
  <c r="T34" i="2"/>
  <c r="T35" i="2"/>
  <c r="T78" i="2"/>
  <c r="T79" i="2"/>
  <c r="T180" i="2"/>
  <c r="T129" i="2"/>
  <c r="T36" i="2"/>
  <c r="T37" i="2"/>
  <c r="T80" i="2"/>
  <c r="T181" i="2"/>
  <c r="T38" i="2"/>
  <c r="W3" i="1"/>
  <c r="W2" i="1"/>
  <c r="U173" i="2" l="1"/>
  <c r="U165" i="2"/>
  <c r="U157" i="2"/>
  <c r="U149" i="2"/>
  <c r="U141" i="2"/>
  <c r="U133" i="2"/>
  <c r="U125" i="2"/>
  <c r="U117" i="2"/>
  <c r="U109" i="2"/>
  <c r="U101" i="2"/>
  <c r="U93" i="2"/>
  <c r="U85" i="2"/>
  <c r="U77" i="2"/>
  <c r="U69" i="2"/>
  <c r="U61" i="2"/>
  <c r="U53" i="2"/>
  <c r="U45" i="2"/>
  <c r="U37" i="2"/>
  <c r="U29" i="2"/>
  <c r="U21" i="2"/>
  <c r="U13" i="2"/>
  <c r="U5" i="2"/>
  <c r="U178" i="2"/>
  <c r="U170" i="2"/>
  <c r="U162" i="2"/>
  <c r="U154" i="2"/>
  <c r="U146" i="2"/>
  <c r="U138" i="2"/>
  <c r="U130" i="2"/>
  <c r="U122" i="2"/>
  <c r="U114" i="2"/>
  <c r="U106" i="2"/>
  <c r="U98" i="2"/>
  <c r="U90" i="2"/>
  <c r="U82" i="2"/>
  <c r="U74" i="2"/>
  <c r="U66" i="2"/>
  <c r="U58" i="2"/>
  <c r="U50" i="2"/>
  <c r="U42" i="2"/>
  <c r="U34" i="2"/>
  <c r="U26" i="2"/>
  <c r="U18" i="2"/>
  <c r="U10" i="2"/>
  <c r="U2" i="2"/>
  <c r="U169" i="2"/>
  <c r="U161" i="2"/>
  <c r="U153" i="2"/>
  <c r="U145" i="2"/>
  <c r="U137" i="2"/>
  <c r="U129" i="2"/>
  <c r="U121" i="2"/>
  <c r="U113" i="2"/>
  <c r="U105" i="2"/>
  <c r="U97" i="2"/>
  <c r="U89" i="2"/>
  <c r="U81" i="2"/>
  <c r="U73" i="2"/>
  <c r="U65" i="2"/>
  <c r="U57" i="2"/>
  <c r="U49" i="2"/>
  <c r="U41" i="2"/>
  <c r="U33" i="2"/>
  <c r="U25" i="2"/>
  <c r="U17" i="2"/>
  <c r="U9" i="2"/>
  <c r="U176" i="2"/>
  <c r="U168" i="2"/>
  <c r="U160" i="2"/>
  <c r="U152" i="2"/>
  <c r="U144" i="2"/>
  <c r="U136" i="2"/>
  <c r="U128" i="2"/>
  <c r="U120" i="2"/>
  <c r="U112" i="2"/>
  <c r="U104" i="2"/>
  <c r="U96" i="2"/>
  <c r="U88" i="2"/>
  <c r="U80" i="2"/>
  <c r="U72" i="2"/>
  <c r="U64" i="2"/>
  <c r="U56" i="2"/>
  <c r="U48" i="2"/>
  <c r="U40" i="2"/>
  <c r="U32" i="2"/>
  <c r="U24" i="2"/>
  <c r="U16" i="2"/>
  <c r="U8" i="2"/>
  <c r="U175" i="2"/>
  <c r="U167" i="2"/>
  <c r="U159" i="2"/>
  <c r="U151" i="2"/>
  <c r="U143" i="2"/>
  <c r="U135" i="2"/>
  <c r="U127" i="2"/>
  <c r="U119" i="2"/>
  <c r="U111" i="2"/>
  <c r="U103" i="2"/>
  <c r="U95" i="2"/>
  <c r="U87" i="2"/>
  <c r="U79" i="2"/>
  <c r="U71" i="2"/>
  <c r="U63" i="2"/>
  <c r="U55" i="2"/>
  <c r="U47" i="2"/>
  <c r="U39" i="2"/>
  <c r="U31" i="2"/>
  <c r="U23" i="2"/>
  <c r="U15" i="2"/>
  <c r="U7" i="2"/>
  <c r="U174" i="2"/>
  <c r="U166" i="2"/>
  <c r="U158" i="2"/>
  <c r="U150" i="2"/>
  <c r="U142" i="2"/>
  <c r="U134" i="2"/>
  <c r="U126" i="2"/>
  <c r="U118" i="2"/>
  <c r="U110" i="2"/>
  <c r="U102" i="2"/>
  <c r="U94" i="2"/>
  <c r="U86" i="2"/>
  <c r="U78" i="2"/>
  <c r="U62" i="2"/>
  <c r="U46" i="2"/>
  <c r="U38" i="2"/>
  <c r="U30" i="2"/>
  <c r="AG3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24F296-DF32-4D00-80C2-E692354BB2B2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095BBAB-1CAC-4784-964C-0703A70BB566}" name="WorksheetConnection_Base REal.xlsx!Tabela1" type="102" refreshedVersion="8" minRefreshableVersion="5">
    <extLst>
      <ext xmlns:x15="http://schemas.microsoft.com/office/spreadsheetml/2010/11/main" uri="{DE250136-89BD-433C-8126-D09CA5730AF9}">
        <x15:connection id="Tabela1" autoDelete="1">
          <x15:rangePr sourceName="_xlcn.WorksheetConnection_BaseREal.xlsxTabela11"/>
        </x15:connection>
      </ext>
    </extLst>
  </connection>
</connections>
</file>

<file path=xl/sharedStrings.xml><?xml version="1.0" encoding="utf-8"?>
<sst xmlns="http://schemas.openxmlformats.org/spreadsheetml/2006/main" count="3675" uniqueCount="242">
  <si>
    <t>id_lead</t>
  </si>
  <si>
    <t>data_interacao</t>
  </si>
  <si>
    <t>canal_aquisicao</t>
  </si>
  <si>
    <t>campanha</t>
  </si>
  <si>
    <t>objetivo_campanha</t>
  </si>
  <si>
    <t>investimento</t>
  </si>
  <si>
    <t>visitantes</t>
  </si>
  <si>
    <t>leads_gerados</t>
  </si>
  <si>
    <t>etapa_funil</t>
  </si>
  <si>
    <t>tempo_etapa_dias</t>
  </si>
  <si>
    <t>converteu_cliente</t>
  </si>
  <si>
    <t>valor_venda</t>
  </si>
  <si>
    <t>ticket_medio</t>
  </si>
  <si>
    <t>idade</t>
  </si>
  <si>
    <t>genero</t>
  </si>
  <si>
    <t>cidade</t>
  </si>
  <si>
    <t>estado</t>
  </si>
  <si>
    <t>engajamento_score</t>
  </si>
  <si>
    <t>status_cliente</t>
  </si>
  <si>
    <t>ltv_estimado</t>
  </si>
  <si>
    <t>LEAD_13</t>
  </si>
  <si>
    <t>Meta Ads</t>
  </si>
  <si>
    <t>Wellness_Fev</t>
  </si>
  <si>
    <t>Tráfego</t>
  </si>
  <si>
    <t>Lead</t>
  </si>
  <si>
    <t>Não</t>
  </si>
  <si>
    <t>F</t>
  </si>
  <si>
    <t>recife</t>
  </si>
  <si>
    <t>SP</t>
  </si>
  <si>
    <t>Churn</t>
  </si>
  <si>
    <t>LEAD_107</t>
  </si>
  <si>
    <t>Google Ads</t>
  </si>
  <si>
    <t>Wellness_Abr</t>
  </si>
  <si>
    <t>Conversão</t>
  </si>
  <si>
    <t>Oportunidade</t>
  </si>
  <si>
    <t>São Paulo</t>
  </si>
  <si>
    <t>MG</t>
  </si>
  <si>
    <t>Inativo</t>
  </si>
  <si>
    <t>LEAD_44</t>
  </si>
  <si>
    <t>Influenciador</t>
  </si>
  <si>
    <t>Visitante</t>
  </si>
  <si>
    <t>Sim</t>
  </si>
  <si>
    <t>M</t>
  </si>
  <si>
    <t>BA</t>
  </si>
  <si>
    <t>LEAD_21</t>
  </si>
  <si>
    <t>Wellness_Mar</t>
  </si>
  <si>
    <t>Recife</t>
  </si>
  <si>
    <t>Ativo</t>
  </si>
  <si>
    <t>LEAD_15</t>
  </si>
  <si>
    <t>Wellness_Jan</t>
  </si>
  <si>
    <t>Awareness</t>
  </si>
  <si>
    <t>Belo Horizonte</t>
  </si>
  <si>
    <t>PE</t>
  </si>
  <si>
    <t>LEAD_103</t>
  </si>
  <si>
    <t>Email</t>
  </si>
  <si>
    <t>SQL</t>
  </si>
  <si>
    <t>LEAD_111</t>
  </si>
  <si>
    <t>Orgânico</t>
  </si>
  <si>
    <t>MQL</t>
  </si>
  <si>
    <t>Salvador</t>
  </si>
  <si>
    <t>LEAD_77</t>
  </si>
  <si>
    <t>LEAD_70</t>
  </si>
  <si>
    <t>LEAD_137</t>
  </si>
  <si>
    <t>Cliente</t>
  </si>
  <si>
    <t>LEAD_33</t>
  </si>
  <si>
    <t>LEAD_76</t>
  </si>
  <si>
    <t>LEAD_133</t>
  </si>
  <si>
    <t>LEAD_93</t>
  </si>
  <si>
    <t>LEAD_101</t>
  </si>
  <si>
    <t>LEAD_86</t>
  </si>
  <si>
    <t>LEAD_75</t>
  </si>
  <si>
    <t>LEAD_78</t>
  </si>
  <si>
    <t>LEAD_60</t>
  </si>
  <si>
    <t>LEAD_84</t>
  </si>
  <si>
    <t>LEAD_156</t>
  </si>
  <si>
    <t>LEAD_10</t>
  </si>
  <si>
    <t>LEAD_19</t>
  </si>
  <si>
    <t>LEAD_136</t>
  </si>
  <si>
    <t>LEAD_104</t>
  </si>
  <si>
    <t>LEAD_90</t>
  </si>
  <si>
    <t>LEAD_72</t>
  </si>
  <si>
    <t>LEAD_82</t>
  </si>
  <si>
    <t>LEAD_12</t>
  </si>
  <si>
    <t>LEAD_29</t>
  </si>
  <si>
    <t>LEAD_158</t>
  </si>
  <si>
    <t>LEAD_81</t>
  </si>
  <si>
    <t>LEAD_30</t>
  </si>
  <si>
    <t>LEAD_18</t>
  </si>
  <si>
    <t>LEAD_3</t>
  </si>
  <si>
    <t>LEAD_17</t>
  </si>
  <si>
    <t>LEAD_53</t>
  </si>
  <si>
    <t>LEAD_43</t>
  </si>
  <si>
    <t>LEAD_106</t>
  </si>
  <si>
    <t>LEAD_45</t>
  </si>
  <si>
    <t>LEAD_112</t>
  </si>
  <si>
    <t>LEAD_11</t>
  </si>
  <si>
    <t>LEAD_42</t>
  </si>
  <si>
    <t>LEAD_31</t>
  </si>
  <si>
    <t>LEAD_38</t>
  </si>
  <si>
    <t>LEAD_99</t>
  </si>
  <si>
    <t>LEAD_68</t>
  </si>
  <si>
    <t>LEAD_63</t>
  </si>
  <si>
    <t>LEAD_40</t>
  </si>
  <si>
    <t>LEAD_91</t>
  </si>
  <si>
    <t>LEAD_118</t>
  </si>
  <si>
    <t>LEAD_148</t>
  </si>
  <si>
    <t>LEAD_146</t>
  </si>
  <si>
    <t>LEAD_95</t>
  </si>
  <si>
    <t>LEAD_7</t>
  </si>
  <si>
    <t>LEAD_26</t>
  </si>
  <si>
    <t>LEAD_5</t>
  </si>
  <si>
    <t>LEAD_8</t>
  </si>
  <si>
    <t>LEAD_46</t>
  </si>
  <si>
    <t>LEAD_64</t>
  </si>
  <si>
    <t>LEAD_23</t>
  </si>
  <si>
    <t>LEAD_37</t>
  </si>
  <si>
    <t>LEAD_92</t>
  </si>
  <si>
    <t>LEAD_94</t>
  </si>
  <si>
    <t>LEAD_139</t>
  </si>
  <si>
    <t>LEAD_140</t>
  </si>
  <si>
    <t>LEAD_62</t>
  </si>
  <si>
    <t>LEAD_151</t>
  </si>
  <si>
    <t>LEAD_36</t>
  </si>
  <si>
    <t>LEAD_58</t>
  </si>
  <si>
    <t>LEAD_1</t>
  </si>
  <si>
    <t>LEAD_79</t>
  </si>
  <si>
    <t>LEAD_129</t>
  </si>
  <si>
    <t>LEAD_157</t>
  </si>
  <si>
    <t>LEAD_56</t>
  </si>
  <si>
    <t>LEAD_143</t>
  </si>
  <si>
    <t>LEAD_115</t>
  </si>
  <si>
    <t>LEAD_57</t>
  </si>
  <si>
    <t>LEAD_119</t>
  </si>
  <si>
    <t>LEAD_114</t>
  </si>
  <si>
    <t>LEAD_39</t>
  </si>
  <si>
    <t>LEAD_6</t>
  </si>
  <si>
    <t>LEAD_85</t>
  </si>
  <si>
    <t>LEAD_69</t>
  </si>
  <si>
    <t>LEAD_141</t>
  </si>
  <si>
    <t>LEAD_52</t>
  </si>
  <si>
    <t>LEAD_48</t>
  </si>
  <si>
    <t>LEAD_32</t>
  </si>
  <si>
    <t>LEAD_131</t>
  </si>
  <si>
    <t>LEAD_135</t>
  </si>
  <si>
    <t>LEAD_83</t>
  </si>
  <si>
    <t>LEAD_142</t>
  </si>
  <si>
    <t>LEAD_150</t>
  </si>
  <si>
    <t>LEAD_116</t>
  </si>
  <si>
    <t>LEAD_100</t>
  </si>
  <si>
    <t>LEAD_152</t>
  </si>
  <si>
    <t>LEAD_66</t>
  </si>
  <si>
    <t>LEAD_80</t>
  </si>
  <si>
    <t>LEAD_126</t>
  </si>
  <si>
    <t>LEAD_20</t>
  </si>
  <si>
    <t>LEAD_138</t>
  </si>
  <si>
    <t>LEAD_153</t>
  </si>
  <si>
    <t>LEAD_41</t>
  </si>
  <si>
    <t>LEAD_89</t>
  </si>
  <si>
    <t>LEAD_61</t>
  </si>
  <si>
    <t>LEAD_149</t>
  </si>
  <si>
    <t>LEAD_134</t>
  </si>
  <si>
    <t>Situação</t>
  </si>
  <si>
    <t>Resolução</t>
  </si>
  <si>
    <t>Missings em "Idade"</t>
  </si>
  <si>
    <t>Preencher vazio por medianas das idades (por gênero)</t>
  </si>
  <si>
    <t>Missings:</t>
  </si>
  <si>
    <t>Não-Missings</t>
  </si>
  <si>
    <t>Leads com mesmo ID</t>
  </si>
  <si>
    <t>Desconsiderar</t>
  </si>
  <si>
    <t>Estado e Cidade Discrepantes</t>
  </si>
  <si>
    <t>Retirar coluna "estado", irrelevante já que todas as cidades são capitais</t>
  </si>
  <si>
    <t>Mediana Idade Mulheres:</t>
  </si>
  <si>
    <t>Mediana Idade Homens:</t>
  </si>
  <si>
    <t>CPL</t>
  </si>
  <si>
    <t>CAC</t>
  </si>
  <si>
    <t>Total Geral</t>
  </si>
  <si>
    <t>Canal Aquisição</t>
  </si>
  <si>
    <t>Converteu Cliente?</t>
  </si>
  <si>
    <t>Investimento Realizado</t>
  </si>
  <si>
    <t>Número de Clientes</t>
  </si>
  <si>
    <t>lead_qualificado</t>
  </si>
  <si>
    <t>canal_tipo</t>
  </si>
  <si>
    <t>Intenção de Compra</t>
  </si>
  <si>
    <t>Clientes Convertidos</t>
  </si>
  <si>
    <t>Taxa de Conversão</t>
  </si>
  <si>
    <t>Clientes Total</t>
  </si>
  <si>
    <t>Tipo de Canais</t>
  </si>
  <si>
    <t>nivel_engajamento</t>
  </si>
  <si>
    <t>ticket_categoria</t>
  </si>
  <si>
    <t>Correlação LTV x Engajamento</t>
  </si>
  <si>
    <t>Correlação Fraca (Positiva)</t>
  </si>
  <si>
    <t>faixa_etaria</t>
  </si>
  <si>
    <t>outlier_investimento</t>
  </si>
  <si>
    <t>outlier_visitantes</t>
  </si>
  <si>
    <t>outlier_leads_gerados</t>
  </si>
  <si>
    <t>Q1</t>
  </si>
  <si>
    <t>Q3</t>
  </si>
  <si>
    <t>IQR</t>
  </si>
  <si>
    <t>Lim_inf</t>
  </si>
  <si>
    <t>Lim_sup</t>
  </si>
  <si>
    <t>Outlier Investimento</t>
  </si>
  <si>
    <t>Outlier Visitantes</t>
  </si>
  <si>
    <t>Outlier Leads Gerados</t>
  </si>
  <si>
    <t>Outlier LTV</t>
  </si>
  <si>
    <t>outlier_ltv</t>
  </si>
  <si>
    <t>Adulto</t>
  </si>
  <si>
    <t>Jovem</t>
  </si>
  <si>
    <t>Sênior</t>
  </si>
  <si>
    <t>LTV por Faixa Etária</t>
  </si>
  <si>
    <t>Faixa Etária</t>
  </si>
  <si>
    <t>Situação Cliente</t>
  </si>
  <si>
    <t>Contagem de CAC</t>
  </si>
  <si>
    <t>Relatório Analítico Marketing Digital Wellness</t>
  </si>
  <si>
    <t>Clientes</t>
  </si>
  <si>
    <t>Convertidos?</t>
  </si>
  <si>
    <t>Investimento Total</t>
  </si>
  <si>
    <t>Leads Totais</t>
  </si>
  <si>
    <t>Taxa de Conversão Cliente</t>
  </si>
  <si>
    <t>Melhor Canal de Aquisição</t>
  </si>
  <si>
    <t>CAC Médio:</t>
  </si>
  <si>
    <t>CAC Médio</t>
  </si>
  <si>
    <t>Convertido</t>
  </si>
  <si>
    <t>LTV Gerado por Canal</t>
  </si>
  <si>
    <t>Total</t>
  </si>
  <si>
    <t>Total Investido</t>
  </si>
  <si>
    <t>Não Convertido</t>
  </si>
  <si>
    <t>Como pode-se ver, o Meta Ads converteu mais clientes custando menos para adquirir cada um deles.</t>
  </si>
  <si>
    <t>Ticket Médio</t>
  </si>
  <si>
    <t>Qtd Leads</t>
  </si>
  <si>
    <t>Maioria dos Clientes já convertidos são Adultos e Sênior, isso reflete em um LTV muito maior do que em comparação ao público Jovem.</t>
  </si>
  <si>
    <t>Conclusão</t>
  </si>
  <si>
    <t>Etapa Funil:</t>
  </si>
  <si>
    <t>Faixa Etária:</t>
  </si>
  <si>
    <t>Investimento, CAC e CPL:</t>
  </si>
  <si>
    <t>Canais:</t>
  </si>
  <si>
    <t>Canais de Intenção de Compra como o Meta Ads, Google Ads dão retorno melhores.</t>
  </si>
  <si>
    <t>Identificar garglos em etapas intermédias como MQL, SQL e Oportunidade para converter os clientes.</t>
  </si>
  <si>
    <t>Otimizar o CAC e o CPL, valor está muito alto e a taxa de conversão não está ideal.</t>
  </si>
  <si>
    <t>Retenção Cliente:</t>
  </si>
  <si>
    <t>Apesar de bom alcance das campanhas, os clientes acabam ficando em Churn e Inativos. Falta fidelização.</t>
  </si>
  <si>
    <t>Adultos e Sêniors mostram interesse maior na marca, porém o público Jovem necessita de uma estratégia diferente para ser contemplado pelo negócio.</t>
  </si>
  <si>
    <t>Muitos Leads em etapas "intermediárias". Buscar identificar e resolver gargalos.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</si>
</sst>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yyyy\-mm\-dd"/>
    <numFmt numFmtId="166" formatCode="_-[$R$-416]\ * #,##0.00_-;\-[$R$-416]\ * #,##0.00_-;_-[$R$-416]\ * &quot;-&quot;??_-;_-@_-"/>
    <numFmt numFmtId="169" formatCode="&quot;R$&quot;\ 0,\ &quot;mil&quot;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medium">
        <color theme="6" tint="-0.249977111117893"/>
      </top>
      <bottom/>
      <diagonal/>
    </border>
    <border>
      <left/>
      <right/>
      <top style="thin">
        <color theme="6" tint="-0.249977111117893"/>
      </top>
      <bottom style="medium">
        <color theme="6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4" fillId="0" borderId="0" xfId="0" applyFont="1"/>
    <xf numFmtId="164" fontId="5" fillId="0" borderId="0" xfId="0" applyNumberFormat="1" applyFont="1"/>
    <xf numFmtId="9" fontId="4" fillId="0" borderId="0" xfId="0" applyNumberFormat="1" applyFont="1"/>
    <xf numFmtId="0" fontId="4" fillId="0" borderId="0" xfId="0" applyNumberFormat="1" applyFont="1"/>
    <xf numFmtId="166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3" borderId="1" xfId="0" applyFont="1" applyFill="1" applyBorder="1"/>
    <xf numFmtId="0" fontId="0" fillId="0" borderId="0" xfId="0" applyNumberFormat="1"/>
    <xf numFmtId="166" fontId="0" fillId="0" borderId="0" xfId="0" applyNumberFormat="1"/>
    <xf numFmtId="0" fontId="2" fillId="4" borderId="3" xfId="0" applyFont="1" applyFill="1" applyBorder="1"/>
    <xf numFmtId="0" fontId="0" fillId="0" borderId="0" xfId="0" applyBorder="1"/>
    <xf numFmtId="166" fontId="0" fillId="0" borderId="0" xfId="0" applyNumberFormat="1" applyBorder="1"/>
    <xf numFmtId="0" fontId="0" fillId="0" borderId="0" xfId="0" applyFont="1"/>
    <xf numFmtId="10" fontId="0" fillId="0" borderId="0" xfId="1" applyNumberFormat="1" applyFont="1"/>
    <xf numFmtId="0" fontId="2" fillId="4" borderId="0" xfId="0" applyFont="1" applyFill="1"/>
    <xf numFmtId="0" fontId="0" fillId="0" borderId="0" xfId="0" applyNumberFormat="1" applyFont="1"/>
    <xf numFmtId="0" fontId="3" fillId="0" borderId="4" xfId="0" applyNumberFormat="1" applyFont="1" applyBorder="1"/>
    <xf numFmtId="10" fontId="3" fillId="0" borderId="4" xfId="1" applyNumberFormat="1" applyFont="1" applyBorder="1"/>
    <xf numFmtId="0" fontId="2" fillId="5" borderId="0" xfId="0" applyFont="1" applyFill="1"/>
    <xf numFmtId="10" fontId="0" fillId="6" borderId="0" xfId="1" applyNumberFormat="1" applyFont="1" applyFill="1"/>
    <xf numFmtId="1" fontId="0" fillId="0" borderId="0" xfId="0" applyNumberFormat="1"/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2" fillId="2" borderId="0" xfId="0" applyFont="1" applyFill="1"/>
    <xf numFmtId="0" fontId="0" fillId="0" borderId="0" xfId="0" applyFont="1" applyAlignment="1">
      <alignment horizontal="left"/>
    </xf>
    <xf numFmtId="166" fontId="11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wrapText="1"/>
    </xf>
    <xf numFmtId="10" fontId="11" fillId="0" borderId="5" xfId="1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1" fillId="0" borderId="5" xfId="1" applyNumberFormat="1" applyFont="1" applyBorder="1" applyAlignment="1">
      <alignment horizontal="center" vertical="center" wrapText="1"/>
    </xf>
    <xf numFmtId="0" fontId="10" fillId="0" borderId="0" xfId="0" applyFont="1" applyBorder="1" applyAlignment="1"/>
    <xf numFmtId="169" fontId="0" fillId="0" borderId="0" xfId="0" applyNumberFormat="1" applyFont="1"/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44" fontId="0" fillId="0" borderId="0" xfId="0" applyNumberFormat="1"/>
    <xf numFmtId="0" fontId="3" fillId="3" borderId="2" xfId="0" applyFont="1" applyFill="1" applyBorder="1" applyAlignment="1">
      <alignment horizontal="left"/>
    </xf>
    <xf numFmtId="166" fontId="3" fillId="3" borderId="2" xfId="0" applyNumberFormat="1" applyFont="1" applyFill="1" applyBorder="1"/>
    <xf numFmtId="169" fontId="0" fillId="0" borderId="0" xfId="0" applyNumberFormat="1"/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6" xfId="0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41">
    <dxf>
      <numFmt numFmtId="166" formatCode="_-[$R$-416]\ * #,##0.00_-;\-[$R$-416]\ * #,##0.00_-;_-[$R$-416]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Análise CRM Wellness.xlsx]Análises de Faixa Etária!Tabela dinâmica19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'Análises de Faixa Etária'!$B$23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'Análises de Faixa Etária'!$A$24:$A$30</c:f>
              <c:strCache>
                <c:ptCount val="6"/>
                <c:pt idx="0">
                  <c:v>Visitante</c:v>
                </c:pt>
                <c:pt idx="1">
                  <c:v>Lead</c:v>
                </c:pt>
                <c:pt idx="2">
                  <c:v>MQL</c:v>
                </c:pt>
                <c:pt idx="3">
                  <c:v>SQL</c:v>
                </c:pt>
                <c:pt idx="4">
                  <c:v>Oportunidade</c:v>
                </c:pt>
                <c:pt idx="5">
                  <c:v>Cliente</c:v>
                </c:pt>
              </c:strCache>
            </c:strRef>
          </c:cat>
          <c:val>
            <c:numRef>
              <c:f>'Análises de Faixa Etária'!$B$24:$B$30</c:f>
              <c:numCache>
                <c:formatCode>0</c:formatCode>
                <c:ptCount val="6"/>
                <c:pt idx="0">
                  <c:v>21</c:v>
                </c:pt>
                <c:pt idx="1">
                  <c:v>33</c:v>
                </c:pt>
                <c:pt idx="2">
                  <c:v>27</c:v>
                </c:pt>
                <c:pt idx="3">
                  <c:v>30</c:v>
                </c:pt>
                <c:pt idx="4">
                  <c:v>30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E-4996-B482-F46F546594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12962991"/>
        <c:axId val="1912964431"/>
      </c:barChart>
      <c:catAx>
        <c:axId val="191296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2964431"/>
        <c:crosses val="autoZero"/>
        <c:auto val="1"/>
        <c:lblAlgn val="ctr"/>
        <c:lblOffset val="100"/>
        <c:noMultiLvlLbl val="0"/>
      </c:catAx>
      <c:valAx>
        <c:axId val="191296443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91296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Clientes Convertidos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CF-4BEF-B8EE-1CE59D3444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7CF-4BEF-B8EE-1CE59D3444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CF-4BEF-B8EE-1CE59D34443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7CF-4BEF-B8EE-1CE59D34443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A7CF-4BEF-B8EE-1CE59D34443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7CF-4BEF-B8EE-1CE59D34443E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Gráficos!$B$9:$D$9</c:f>
              <c:strCache>
                <c:ptCount val="3"/>
                <c:pt idx="0">
                  <c:v>Não</c:v>
                </c:pt>
                <c:pt idx="2">
                  <c:v>Sim</c:v>
                </c:pt>
              </c:strCache>
            </c:strRef>
          </c:cat>
          <c:val>
            <c:numRef>
              <c:f>Gráficos!$B$10:$D$10</c:f>
              <c:numCache>
                <c:formatCode>General</c:formatCode>
                <c:ptCount val="3"/>
                <c:pt idx="0">
                  <c:v>96</c:v>
                </c:pt>
                <c:pt idx="2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F-4BEF-B8EE-1CE59D34443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Investimento</a:t>
            </a:r>
            <a:r>
              <a:rPr lang="pt-BR" baseline="0"/>
              <a:t> x Conversão de Clientes (em mil)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Gráficos!$B$1</c:f>
              <c:strCache>
                <c:ptCount val="1"/>
                <c:pt idx="0">
                  <c:v>Convertido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Gráficos!$A$2:$A$6</c:f>
              <c:strCache>
                <c:ptCount val="5"/>
                <c:pt idx="0">
                  <c:v>Meta Ads</c:v>
                </c:pt>
                <c:pt idx="1">
                  <c:v>Orgânico</c:v>
                </c:pt>
                <c:pt idx="2">
                  <c:v>Email</c:v>
                </c:pt>
                <c:pt idx="3">
                  <c:v>Influenciador</c:v>
                </c:pt>
                <c:pt idx="4">
                  <c:v>Google Ads</c:v>
                </c:pt>
              </c:strCache>
            </c:strRef>
          </c:cat>
          <c:val>
            <c:numRef>
              <c:f>Gráficos!$B$2:$B$6</c:f>
              <c:numCache>
                <c:formatCode>"R$"\ 0,\ "mil"</c:formatCode>
                <c:ptCount val="5"/>
                <c:pt idx="0">
                  <c:v>256436</c:v>
                </c:pt>
                <c:pt idx="1">
                  <c:v>159090</c:v>
                </c:pt>
                <c:pt idx="2">
                  <c:v>130224</c:v>
                </c:pt>
                <c:pt idx="3">
                  <c:v>151788</c:v>
                </c:pt>
                <c:pt idx="4">
                  <c:v>131607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9-4434-886C-6FE454E2AB24}"/>
            </c:ext>
          </c:extLst>
        </c:ser>
        <c:ser>
          <c:idx val="1"/>
          <c:order val="1"/>
          <c:tx>
            <c:strRef>
              <c:f>Gráficos!$C$1</c:f>
              <c:strCache>
                <c:ptCount val="1"/>
                <c:pt idx="0">
                  <c:v>Não Convertido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Gráficos!$A$2:$A$6</c:f>
              <c:strCache>
                <c:ptCount val="5"/>
                <c:pt idx="0">
                  <c:v>Meta Ads</c:v>
                </c:pt>
                <c:pt idx="1">
                  <c:v>Orgânico</c:v>
                </c:pt>
                <c:pt idx="2">
                  <c:v>Email</c:v>
                </c:pt>
                <c:pt idx="3">
                  <c:v>Influenciador</c:v>
                </c:pt>
                <c:pt idx="4">
                  <c:v>Google Ads</c:v>
                </c:pt>
              </c:strCache>
            </c:strRef>
          </c:cat>
          <c:val>
            <c:numRef>
              <c:f>Gráficos!$C$2:$C$6</c:f>
              <c:numCache>
                <c:formatCode>"R$"\ 0,\ "mil"</c:formatCode>
                <c:ptCount val="5"/>
                <c:pt idx="0">
                  <c:v>198316</c:v>
                </c:pt>
                <c:pt idx="1">
                  <c:v>191657</c:v>
                </c:pt>
                <c:pt idx="2">
                  <c:v>173806</c:v>
                </c:pt>
                <c:pt idx="3">
                  <c:v>178498</c:v>
                </c:pt>
                <c:pt idx="4">
                  <c:v>196228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9-4434-886C-6FE454E2AB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26079839"/>
        <c:axId val="1926054399"/>
      </c:barChart>
      <c:lineChart>
        <c:grouping val="standard"/>
        <c:varyColors val="0"/>
        <c:ser>
          <c:idx val="2"/>
          <c:order val="2"/>
          <c:tx>
            <c:strRef>
              <c:f>Gráficos!$D$1</c:f>
              <c:strCache>
                <c:ptCount val="1"/>
                <c:pt idx="0">
                  <c:v>Total Investido</c:v>
                </c:pt>
              </c:strCache>
            </c:strRef>
          </c:tx>
          <c:spPr>
            <a:ln w="28575" cap="rnd">
              <a:solidFill>
                <a:schemeClr val="accent3">
                  <a:alpha val="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Gráficos!$A$2:$A$6</c:f>
              <c:strCache>
                <c:ptCount val="5"/>
                <c:pt idx="0">
                  <c:v>Meta Ads</c:v>
                </c:pt>
                <c:pt idx="1">
                  <c:v>Orgânico</c:v>
                </c:pt>
                <c:pt idx="2">
                  <c:v>Email</c:v>
                </c:pt>
                <c:pt idx="3">
                  <c:v>Influenciador</c:v>
                </c:pt>
                <c:pt idx="4">
                  <c:v>Google Ads</c:v>
                </c:pt>
              </c:strCache>
            </c:strRef>
          </c:cat>
          <c:val>
            <c:numRef>
              <c:f>Gráficos!$D$2:$D$6</c:f>
              <c:numCache>
                <c:formatCode>"R$"\ 0,\ "mil"</c:formatCode>
                <c:ptCount val="5"/>
                <c:pt idx="0">
                  <c:v>434934</c:v>
                </c:pt>
                <c:pt idx="1">
                  <c:v>355318</c:v>
                </c:pt>
                <c:pt idx="2">
                  <c:v>328540</c:v>
                </c:pt>
                <c:pt idx="3">
                  <c:v>325594</c:v>
                </c:pt>
                <c:pt idx="4">
                  <c:v>323264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99-4434-886C-6FE454E2AB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6079839"/>
        <c:axId val="1926054399"/>
      </c:lineChart>
      <c:catAx>
        <c:axId val="192607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6054399"/>
        <c:crosses val="autoZero"/>
        <c:auto val="1"/>
        <c:lblAlgn val="ctr"/>
        <c:lblOffset val="100"/>
        <c:noMultiLvlLbl val="0"/>
      </c:catAx>
      <c:valAx>
        <c:axId val="1926054399"/>
        <c:scaling>
          <c:orientation val="minMax"/>
        </c:scaling>
        <c:delete val="1"/>
        <c:axPos val="l"/>
        <c:numFmt formatCode="&quot;R$&quot;\ 0,\ &quot;mil&quot;" sourceLinked="1"/>
        <c:majorTickMark val="none"/>
        <c:minorTickMark val="none"/>
        <c:tickLblPos val="nextTo"/>
        <c:crossAx val="192607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Gráficos!$U$1</c:f>
              <c:strCache>
                <c:ptCount val="1"/>
                <c:pt idx="0">
                  <c:v>CAC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Gráficos!$T$2:$T$6</c:f>
              <c:strCache>
                <c:ptCount val="5"/>
                <c:pt idx="0">
                  <c:v>Meta Ads</c:v>
                </c:pt>
                <c:pt idx="1">
                  <c:v>Google Ads</c:v>
                </c:pt>
                <c:pt idx="2">
                  <c:v>Orgânico</c:v>
                </c:pt>
                <c:pt idx="3">
                  <c:v>Influenciador</c:v>
                </c:pt>
                <c:pt idx="4">
                  <c:v>Email</c:v>
                </c:pt>
              </c:strCache>
            </c:strRef>
          </c:cat>
          <c:val>
            <c:numRef>
              <c:f>Gráficos!$U$2:$U$6</c:f>
              <c:numCache>
                <c:formatCode>"R$"\ 0,\ "mil"</c:formatCode>
                <c:ptCount val="5"/>
                <c:pt idx="0">
                  <c:v>18122.25</c:v>
                </c:pt>
                <c:pt idx="1">
                  <c:v>20204</c:v>
                </c:pt>
                <c:pt idx="2">
                  <c:v>22207.375</c:v>
                </c:pt>
                <c:pt idx="3">
                  <c:v>23256.714285714286</c:v>
                </c:pt>
                <c:pt idx="4">
                  <c:v>23467.142857142859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1-4E59-9E2E-0F2AC1D844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912958671"/>
        <c:axId val="1912971631"/>
      </c:barChart>
      <c:catAx>
        <c:axId val="191295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2971631"/>
        <c:crosses val="autoZero"/>
        <c:auto val="1"/>
        <c:lblAlgn val="ctr"/>
        <c:lblOffset val="100"/>
        <c:noMultiLvlLbl val="0"/>
      </c:catAx>
      <c:valAx>
        <c:axId val="1912971631"/>
        <c:scaling>
          <c:orientation val="minMax"/>
        </c:scaling>
        <c:delete val="1"/>
        <c:axPos val="l"/>
        <c:numFmt formatCode="&quot;R$&quot;\ 0,\ &quot;mil&quot;" sourceLinked="1"/>
        <c:majorTickMark val="none"/>
        <c:minorTickMark val="none"/>
        <c:tickLblPos val="nextTo"/>
        <c:crossAx val="191295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Gráficos!$B$34</c:f>
              <c:strCache>
                <c:ptCount val="1"/>
                <c:pt idx="0">
                  <c:v>Ativo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Gráficos!$A$35:$A$37</c:f>
              <c:strCache>
                <c:ptCount val="3"/>
                <c:pt idx="0">
                  <c:v>Adulto</c:v>
                </c:pt>
                <c:pt idx="1">
                  <c:v>Sênior</c:v>
                </c:pt>
                <c:pt idx="2">
                  <c:v>Jovem</c:v>
                </c:pt>
              </c:strCache>
            </c:strRef>
          </c:cat>
          <c:val>
            <c:numRef>
              <c:f>Gráficos!$B$35:$B$37</c:f>
              <c:numCache>
                <c:formatCode>0</c:formatCode>
                <c:ptCount val="3"/>
                <c:pt idx="0">
                  <c:v>32</c:v>
                </c:pt>
                <c:pt idx="1">
                  <c:v>14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B-4ECB-B34F-BDC57FFC5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20061007"/>
        <c:axId val="1720062447"/>
      </c:barChart>
      <c:catAx>
        <c:axId val="172006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0062447"/>
        <c:crosses val="autoZero"/>
        <c:auto val="1"/>
        <c:lblAlgn val="ctr"/>
        <c:lblOffset val="100"/>
        <c:noMultiLvlLbl val="0"/>
      </c:catAx>
      <c:valAx>
        <c:axId val="172006244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72006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Gráficos!$B$39</c:f>
              <c:strCache>
                <c:ptCount val="1"/>
                <c:pt idx="0">
                  <c:v>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Gráficos!$A$40:$A$42</c:f>
              <c:strCache>
                <c:ptCount val="3"/>
                <c:pt idx="0">
                  <c:v>Adulto</c:v>
                </c:pt>
                <c:pt idx="1">
                  <c:v>Sênior</c:v>
                </c:pt>
                <c:pt idx="2">
                  <c:v>Jovem</c:v>
                </c:pt>
              </c:strCache>
            </c:strRef>
          </c:cat>
          <c:val>
            <c:numRef>
              <c:f>Gráficos!$B$40:$B$42</c:f>
              <c:numCache>
                <c:formatCode>0</c:formatCode>
                <c:ptCount val="3"/>
                <c:pt idx="0">
                  <c:v>35</c:v>
                </c:pt>
                <c:pt idx="1">
                  <c:v>13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A-4380-949A-E53719C177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00527215"/>
        <c:axId val="1900528175"/>
      </c:barChart>
      <c:catAx>
        <c:axId val="190052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0528175"/>
        <c:crosses val="autoZero"/>
        <c:auto val="1"/>
        <c:lblAlgn val="ctr"/>
        <c:lblOffset val="100"/>
        <c:noMultiLvlLbl val="0"/>
      </c:catAx>
      <c:valAx>
        <c:axId val="190052817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90052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Gráficos!$B$44</c:f>
              <c:strCache>
                <c:ptCount val="1"/>
                <c:pt idx="0">
                  <c:v>Inativo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Gráficos!$A$45:$A$47</c:f>
              <c:strCache>
                <c:ptCount val="3"/>
                <c:pt idx="0">
                  <c:v>Adulto</c:v>
                </c:pt>
                <c:pt idx="1">
                  <c:v>Sênior</c:v>
                </c:pt>
                <c:pt idx="2">
                  <c:v>Jovem</c:v>
                </c:pt>
              </c:strCache>
            </c:strRef>
          </c:cat>
          <c:val>
            <c:numRef>
              <c:f>Gráficos!$B$45:$B$47</c:f>
              <c:numCache>
                <c:formatCode>0</c:formatCode>
                <c:ptCount val="3"/>
                <c:pt idx="0">
                  <c:v>51</c:v>
                </c:pt>
                <c:pt idx="1">
                  <c:v>18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3-4790-AFF0-0D40D7ED28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09790751"/>
        <c:axId val="2009792191"/>
      </c:barChart>
      <c:catAx>
        <c:axId val="200979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9792191"/>
        <c:crosses val="autoZero"/>
        <c:auto val="1"/>
        <c:lblAlgn val="ctr"/>
        <c:lblOffset val="100"/>
        <c:noMultiLvlLbl val="0"/>
      </c:catAx>
      <c:valAx>
        <c:axId val="200979219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00979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Gráficos!$B$67</c:f>
              <c:strCache>
                <c:ptCount val="1"/>
                <c:pt idx="0">
                  <c:v>Total Geral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Gráficos!$A$68:$A$70</c:f>
              <c:strCache>
                <c:ptCount val="3"/>
                <c:pt idx="0">
                  <c:v>Adulto</c:v>
                </c:pt>
                <c:pt idx="1">
                  <c:v>Sênior</c:v>
                </c:pt>
                <c:pt idx="2">
                  <c:v>Jovem</c:v>
                </c:pt>
              </c:strCache>
            </c:strRef>
          </c:cat>
          <c:val>
            <c:numRef>
              <c:f>Gráficos!$B$68:$B$70</c:f>
              <c:numCache>
                <c:formatCode>"R$"\ 0,\ "mil"</c:formatCode>
                <c:ptCount val="3"/>
                <c:pt idx="0">
                  <c:v>368254</c:v>
                </c:pt>
                <c:pt idx="1">
                  <c:v>149574</c:v>
                </c:pt>
                <c:pt idx="2">
                  <c:v>59412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0-4871-919A-FAE465F603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13020111"/>
        <c:axId val="1913022031"/>
      </c:barChart>
      <c:catAx>
        <c:axId val="191302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3022031"/>
        <c:crosses val="autoZero"/>
        <c:auto val="1"/>
        <c:lblAlgn val="ctr"/>
        <c:lblOffset val="100"/>
        <c:noMultiLvlLbl val="0"/>
      </c:catAx>
      <c:valAx>
        <c:axId val="1913022031"/>
        <c:scaling>
          <c:orientation val="minMax"/>
        </c:scaling>
        <c:delete val="1"/>
        <c:axPos val="l"/>
        <c:numFmt formatCode="&quot;R$&quot;\ 0,\ &quot;mil&quot;" sourceLinked="1"/>
        <c:majorTickMark val="none"/>
        <c:minorTickMark val="none"/>
        <c:tickLblPos val="nextTo"/>
        <c:crossAx val="191302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Gráficos!$U$1</c:f>
              <c:strCache>
                <c:ptCount val="1"/>
                <c:pt idx="0">
                  <c:v>CAC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Gráficos!$T$2:$T$6</c:f>
              <c:strCache>
                <c:ptCount val="5"/>
                <c:pt idx="0">
                  <c:v>Meta Ads</c:v>
                </c:pt>
                <c:pt idx="1">
                  <c:v>Google Ads</c:v>
                </c:pt>
                <c:pt idx="2">
                  <c:v>Orgânico</c:v>
                </c:pt>
                <c:pt idx="3">
                  <c:v>Influenciador</c:v>
                </c:pt>
                <c:pt idx="4">
                  <c:v>Email</c:v>
                </c:pt>
              </c:strCache>
            </c:strRef>
          </c:cat>
          <c:val>
            <c:numRef>
              <c:f>Gráficos!$U$2:$U$6</c:f>
              <c:numCache>
                <c:formatCode>"R$"\ 0,\ "mil"</c:formatCode>
                <c:ptCount val="5"/>
                <c:pt idx="0">
                  <c:v>18122.25</c:v>
                </c:pt>
                <c:pt idx="1">
                  <c:v>20204</c:v>
                </c:pt>
                <c:pt idx="2">
                  <c:v>22207.375</c:v>
                </c:pt>
                <c:pt idx="3">
                  <c:v>23256.714285714286</c:v>
                </c:pt>
                <c:pt idx="4">
                  <c:v>23467.142857142859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0-40E4-8D3B-E519E7A54F4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912958671"/>
        <c:axId val="1912971631"/>
      </c:barChart>
      <c:catAx>
        <c:axId val="191295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2971631"/>
        <c:crosses val="autoZero"/>
        <c:auto val="1"/>
        <c:lblAlgn val="ctr"/>
        <c:lblOffset val="100"/>
        <c:noMultiLvlLbl val="0"/>
      </c:catAx>
      <c:valAx>
        <c:axId val="1912971631"/>
        <c:scaling>
          <c:orientation val="minMax"/>
        </c:scaling>
        <c:delete val="1"/>
        <c:axPos val="l"/>
        <c:numFmt formatCode="&quot;R$&quot;\ 0,\ &quot;mil&quot;" sourceLinked="1"/>
        <c:majorTickMark val="none"/>
        <c:minorTickMark val="none"/>
        <c:tickLblPos val="nextTo"/>
        <c:crossAx val="191295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Investimento x Conversão de Clientes (em mil)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Gráficos!$B$1</c:f>
              <c:strCache>
                <c:ptCount val="1"/>
                <c:pt idx="0">
                  <c:v>Convertido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Gráficos!$A$2:$A$6</c:f>
              <c:strCache>
                <c:ptCount val="5"/>
                <c:pt idx="0">
                  <c:v>Meta Ads</c:v>
                </c:pt>
                <c:pt idx="1">
                  <c:v>Orgânico</c:v>
                </c:pt>
                <c:pt idx="2">
                  <c:v>Email</c:v>
                </c:pt>
                <c:pt idx="3">
                  <c:v>Influenciador</c:v>
                </c:pt>
                <c:pt idx="4">
                  <c:v>Google Ads</c:v>
                </c:pt>
              </c:strCache>
            </c:strRef>
          </c:cat>
          <c:val>
            <c:numRef>
              <c:f>Gráficos!$B$2:$B$6</c:f>
              <c:numCache>
                <c:formatCode>"R$"\ 0,\ "mil"</c:formatCode>
                <c:ptCount val="5"/>
                <c:pt idx="0">
                  <c:v>256436</c:v>
                </c:pt>
                <c:pt idx="1">
                  <c:v>159090</c:v>
                </c:pt>
                <c:pt idx="2">
                  <c:v>130224</c:v>
                </c:pt>
                <c:pt idx="3">
                  <c:v>151788</c:v>
                </c:pt>
                <c:pt idx="4">
                  <c:v>131607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F-4DA9-98F6-9CA8E66F30C4}"/>
            </c:ext>
          </c:extLst>
        </c:ser>
        <c:ser>
          <c:idx val="1"/>
          <c:order val="1"/>
          <c:tx>
            <c:strRef>
              <c:f>Gráficos!$C$1</c:f>
              <c:strCache>
                <c:ptCount val="1"/>
                <c:pt idx="0">
                  <c:v>Não Convertido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Gráficos!$A$2:$A$6</c:f>
              <c:strCache>
                <c:ptCount val="5"/>
                <c:pt idx="0">
                  <c:v>Meta Ads</c:v>
                </c:pt>
                <c:pt idx="1">
                  <c:v>Orgânico</c:v>
                </c:pt>
                <c:pt idx="2">
                  <c:v>Email</c:v>
                </c:pt>
                <c:pt idx="3">
                  <c:v>Influenciador</c:v>
                </c:pt>
                <c:pt idx="4">
                  <c:v>Google Ads</c:v>
                </c:pt>
              </c:strCache>
            </c:strRef>
          </c:cat>
          <c:val>
            <c:numRef>
              <c:f>Gráficos!$C$2:$C$6</c:f>
              <c:numCache>
                <c:formatCode>"R$"\ 0,\ "mil"</c:formatCode>
                <c:ptCount val="5"/>
                <c:pt idx="0">
                  <c:v>198316</c:v>
                </c:pt>
                <c:pt idx="1">
                  <c:v>191657</c:v>
                </c:pt>
                <c:pt idx="2">
                  <c:v>173806</c:v>
                </c:pt>
                <c:pt idx="3">
                  <c:v>178498</c:v>
                </c:pt>
                <c:pt idx="4">
                  <c:v>196228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F-4DA9-98F6-9CA8E66F30C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26079839"/>
        <c:axId val="1926054399"/>
      </c:barChart>
      <c:lineChart>
        <c:grouping val="standard"/>
        <c:varyColors val="0"/>
        <c:ser>
          <c:idx val="2"/>
          <c:order val="2"/>
          <c:tx>
            <c:strRef>
              <c:f>Gráficos!$D$1</c:f>
              <c:strCache>
                <c:ptCount val="1"/>
                <c:pt idx="0">
                  <c:v>Total Investido</c:v>
                </c:pt>
              </c:strCache>
            </c:strRef>
          </c:tx>
          <c:spPr>
            <a:ln w="28575" cap="rnd">
              <a:solidFill>
                <a:schemeClr val="accent3">
                  <a:alpha val="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5.0905475224725077E-2"/>
                  <c:y val="-2.69530721370185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10F-4DA9-98F6-9CA8E66F30C4}"/>
                </c:ext>
              </c:extLst>
            </c:dLbl>
            <c:spPr>
              <a:noFill/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Gráficos!$A$2:$A$6</c:f>
              <c:strCache>
                <c:ptCount val="5"/>
                <c:pt idx="0">
                  <c:v>Meta Ads</c:v>
                </c:pt>
                <c:pt idx="1">
                  <c:v>Orgânico</c:v>
                </c:pt>
                <c:pt idx="2">
                  <c:v>Email</c:v>
                </c:pt>
                <c:pt idx="3">
                  <c:v>Influenciador</c:v>
                </c:pt>
                <c:pt idx="4">
                  <c:v>Google Ads</c:v>
                </c:pt>
              </c:strCache>
            </c:strRef>
          </c:cat>
          <c:val>
            <c:numRef>
              <c:f>Gráficos!$D$2:$D$6</c:f>
              <c:numCache>
                <c:formatCode>"R$"\ 0,\ "mil"</c:formatCode>
                <c:ptCount val="5"/>
                <c:pt idx="0">
                  <c:v>434934</c:v>
                </c:pt>
                <c:pt idx="1">
                  <c:v>355318</c:v>
                </c:pt>
                <c:pt idx="2">
                  <c:v>328540</c:v>
                </c:pt>
                <c:pt idx="3">
                  <c:v>325594</c:v>
                </c:pt>
                <c:pt idx="4">
                  <c:v>323264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0F-4DA9-98F6-9CA8E66F30C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6079839"/>
        <c:axId val="1926054399"/>
      </c:lineChart>
      <c:catAx>
        <c:axId val="192607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6054399"/>
        <c:crosses val="autoZero"/>
        <c:auto val="1"/>
        <c:lblAlgn val="ctr"/>
        <c:lblOffset val="100"/>
        <c:noMultiLvlLbl val="0"/>
      </c:catAx>
      <c:valAx>
        <c:axId val="1926054399"/>
        <c:scaling>
          <c:orientation val="minMax"/>
        </c:scaling>
        <c:delete val="1"/>
        <c:axPos val="l"/>
        <c:numFmt formatCode="&quot;R$&quot;\ 0,\ &quot;mil&quot;" sourceLinked="1"/>
        <c:majorTickMark val="none"/>
        <c:minorTickMark val="none"/>
        <c:tickLblPos val="nextTo"/>
        <c:crossAx val="192607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Análise CRM Wellness.xlsx]Análises de Faixa Etária!Tabela dinâmica19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Situação de Leads - Etapa de Funil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'Análises de Faixa Etária'!$B$23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'Análises de Faixa Etária'!$A$24:$A$30</c:f>
              <c:strCache>
                <c:ptCount val="6"/>
                <c:pt idx="0">
                  <c:v>Visitante</c:v>
                </c:pt>
                <c:pt idx="1">
                  <c:v>Lead</c:v>
                </c:pt>
                <c:pt idx="2">
                  <c:v>MQL</c:v>
                </c:pt>
                <c:pt idx="3">
                  <c:v>SQL</c:v>
                </c:pt>
                <c:pt idx="4">
                  <c:v>Oportunidade</c:v>
                </c:pt>
                <c:pt idx="5">
                  <c:v>Cliente</c:v>
                </c:pt>
              </c:strCache>
            </c:strRef>
          </c:cat>
          <c:val>
            <c:numRef>
              <c:f>'Análises de Faixa Etária'!$B$24:$B$30</c:f>
              <c:numCache>
                <c:formatCode>0</c:formatCode>
                <c:ptCount val="6"/>
                <c:pt idx="0">
                  <c:v>21</c:v>
                </c:pt>
                <c:pt idx="1">
                  <c:v>33</c:v>
                </c:pt>
                <c:pt idx="2">
                  <c:v>27</c:v>
                </c:pt>
                <c:pt idx="3">
                  <c:v>30</c:v>
                </c:pt>
                <c:pt idx="4">
                  <c:v>30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A-4108-BAAE-94B2555C17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12962991"/>
        <c:axId val="1912964431"/>
      </c:barChart>
      <c:catAx>
        <c:axId val="191296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2964431"/>
        <c:crosses val="autoZero"/>
        <c:auto val="1"/>
        <c:lblAlgn val="ctr"/>
        <c:lblOffset val="100"/>
        <c:noMultiLvlLbl val="0"/>
      </c:catAx>
      <c:valAx>
        <c:axId val="191296443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91296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Gráficos!$B$34</c:f>
              <c:strCache>
                <c:ptCount val="1"/>
                <c:pt idx="0">
                  <c:v>Ativo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Gráficos!$A$35:$A$37</c:f>
              <c:strCache>
                <c:ptCount val="3"/>
                <c:pt idx="0">
                  <c:v>Adulto</c:v>
                </c:pt>
                <c:pt idx="1">
                  <c:v>Sênior</c:v>
                </c:pt>
                <c:pt idx="2">
                  <c:v>Jovem</c:v>
                </c:pt>
              </c:strCache>
            </c:strRef>
          </c:cat>
          <c:val>
            <c:numRef>
              <c:f>Gráficos!$B$35:$B$37</c:f>
              <c:numCache>
                <c:formatCode>0</c:formatCode>
                <c:ptCount val="3"/>
                <c:pt idx="0">
                  <c:v>32</c:v>
                </c:pt>
                <c:pt idx="1">
                  <c:v>14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7-4FE0-80C9-9E7B9B08C6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20061007"/>
        <c:axId val="1720062447"/>
      </c:barChart>
      <c:catAx>
        <c:axId val="172006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0062447"/>
        <c:crosses val="autoZero"/>
        <c:auto val="1"/>
        <c:lblAlgn val="ctr"/>
        <c:lblOffset val="100"/>
        <c:noMultiLvlLbl val="0"/>
      </c:catAx>
      <c:valAx>
        <c:axId val="172006244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72006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Gráficos!$B$39</c:f>
              <c:strCache>
                <c:ptCount val="1"/>
                <c:pt idx="0">
                  <c:v>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Gráficos!$A$40:$A$42</c:f>
              <c:strCache>
                <c:ptCount val="3"/>
                <c:pt idx="0">
                  <c:v>Adulto</c:v>
                </c:pt>
                <c:pt idx="1">
                  <c:v>Sênior</c:v>
                </c:pt>
                <c:pt idx="2">
                  <c:v>Jovem</c:v>
                </c:pt>
              </c:strCache>
            </c:strRef>
          </c:cat>
          <c:val>
            <c:numRef>
              <c:f>Gráficos!$B$40:$B$42</c:f>
              <c:numCache>
                <c:formatCode>0</c:formatCode>
                <c:ptCount val="3"/>
                <c:pt idx="0">
                  <c:v>35</c:v>
                </c:pt>
                <c:pt idx="1">
                  <c:v>13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8-4D64-9938-0ACD763E3C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00527215"/>
        <c:axId val="1900528175"/>
      </c:barChart>
      <c:catAx>
        <c:axId val="190052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0528175"/>
        <c:crosses val="autoZero"/>
        <c:auto val="1"/>
        <c:lblAlgn val="ctr"/>
        <c:lblOffset val="100"/>
        <c:noMultiLvlLbl val="0"/>
      </c:catAx>
      <c:valAx>
        <c:axId val="190052817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90052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Gráficos!$B$44</c:f>
              <c:strCache>
                <c:ptCount val="1"/>
                <c:pt idx="0">
                  <c:v>Inativo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Gráficos!$A$45:$A$47</c:f>
              <c:strCache>
                <c:ptCount val="3"/>
                <c:pt idx="0">
                  <c:v>Adulto</c:v>
                </c:pt>
                <c:pt idx="1">
                  <c:v>Sênior</c:v>
                </c:pt>
                <c:pt idx="2">
                  <c:v>Jovem</c:v>
                </c:pt>
              </c:strCache>
            </c:strRef>
          </c:cat>
          <c:val>
            <c:numRef>
              <c:f>Gráficos!$B$45:$B$47</c:f>
              <c:numCache>
                <c:formatCode>0</c:formatCode>
                <c:ptCount val="3"/>
                <c:pt idx="0">
                  <c:v>51</c:v>
                </c:pt>
                <c:pt idx="1">
                  <c:v>18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5-4EC4-995E-DF25651EC9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09790751"/>
        <c:axId val="2009792191"/>
      </c:barChart>
      <c:catAx>
        <c:axId val="200979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9792191"/>
        <c:crosses val="autoZero"/>
        <c:auto val="1"/>
        <c:lblAlgn val="ctr"/>
        <c:lblOffset val="100"/>
        <c:noMultiLvlLbl val="0"/>
      </c:catAx>
      <c:valAx>
        <c:axId val="200979219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00979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Gráficos!$B$67</c:f>
              <c:strCache>
                <c:ptCount val="1"/>
                <c:pt idx="0">
                  <c:v>Total Geral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Gráficos!$A$68:$A$70</c:f>
              <c:strCache>
                <c:ptCount val="3"/>
                <c:pt idx="0">
                  <c:v>Adulto</c:v>
                </c:pt>
                <c:pt idx="1">
                  <c:v>Sênior</c:v>
                </c:pt>
                <c:pt idx="2">
                  <c:v>Jovem</c:v>
                </c:pt>
              </c:strCache>
            </c:strRef>
          </c:cat>
          <c:val>
            <c:numRef>
              <c:f>Gráficos!$B$68:$B$70</c:f>
              <c:numCache>
                <c:formatCode>"R$"\ 0,\ "mil"</c:formatCode>
                <c:ptCount val="3"/>
                <c:pt idx="0">
                  <c:v>368254</c:v>
                </c:pt>
                <c:pt idx="1">
                  <c:v>149574</c:v>
                </c:pt>
                <c:pt idx="2">
                  <c:v>59412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E-42BA-81C2-2C0B9757A5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13020111"/>
        <c:axId val="1913022031"/>
      </c:barChart>
      <c:catAx>
        <c:axId val="191302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3022031"/>
        <c:crosses val="autoZero"/>
        <c:auto val="1"/>
        <c:lblAlgn val="ctr"/>
        <c:lblOffset val="100"/>
        <c:noMultiLvlLbl val="0"/>
      </c:catAx>
      <c:valAx>
        <c:axId val="1913022031"/>
        <c:scaling>
          <c:orientation val="minMax"/>
        </c:scaling>
        <c:delete val="1"/>
        <c:axPos val="l"/>
        <c:numFmt formatCode="&quot;R$&quot;\ 0,\ &quot;mil&quot;" sourceLinked="1"/>
        <c:majorTickMark val="none"/>
        <c:minorTickMark val="none"/>
        <c:tickLblPos val="nextTo"/>
        <c:crossAx val="191302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666750</xdr:colOff>
      <xdr:row>14</xdr:row>
      <xdr:rowOff>176212</xdr:rowOff>
    </xdr:from>
    <xdr:to>
      <xdr:col>11</xdr:col>
      <xdr:colOff>171450</xdr:colOff>
      <xdr:row>29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2BB40D-D196-8413-D356-7A72CEC79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10</xdr:row>
      <xdr:rowOff>71437</xdr:rowOff>
    </xdr:from>
    <xdr:to>
      <xdr:col>15</xdr:col>
      <xdr:colOff>361950</xdr:colOff>
      <xdr:row>24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0C7C09-87AF-2E90-B189-F4490274D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95249</xdr:colOff>
      <xdr:row>15</xdr:row>
      <xdr:rowOff>0</xdr:rowOff>
    </xdr:from>
    <xdr:to>
      <xdr:col>7</xdr:col>
      <xdr:colOff>219074</xdr:colOff>
      <xdr:row>30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B6DBB18-9577-3C31-DC43-314640F26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276225</xdr:colOff>
      <xdr:row>8</xdr:row>
      <xdr:rowOff>185737</xdr:rowOff>
    </xdr:from>
    <xdr:to>
      <xdr:col>22</xdr:col>
      <xdr:colOff>590550</xdr:colOff>
      <xdr:row>23</xdr:row>
      <xdr:rowOff>61912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5ACF6DD-FF91-4A2C-0E91-666B1539D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95250</xdr:colOff>
      <xdr:row>49</xdr:row>
      <xdr:rowOff>119062</xdr:rowOff>
    </xdr:from>
    <xdr:to>
      <xdr:col>4</xdr:col>
      <xdr:colOff>447675</xdr:colOff>
      <xdr:row>64</xdr:row>
      <xdr:rowOff>4762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3F9A237-78F8-77C0-1850-AEEFB04C7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38100</xdr:colOff>
      <xdr:row>49</xdr:row>
      <xdr:rowOff>128587</xdr:rowOff>
    </xdr:from>
    <xdr:to>
      <xdr:col>11</xdr:col>
      <xdr:colOff>9525</xdr:colOff>
      <xdr:row>64</xdr:row>
      <xdr:rowOff>14287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B366104-5F2B-B72E-EE4D-13D48DABD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49</xdr:row>
      <xdr:rowOff>100012</xdr:rowOff>
    </xdr:from>
    <xdr:to>
      <xdr:col>19</xdr:col>
      <xdr:colOff>304800</xdr:colOff>
      <xdr:row>63</xdr:row>
      <xdr:rowOff>176212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23A802B-50BF-C3C5-EE27-449149F9D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457200</xdr:colOff>
      <xdr:row>67</xdr:row>
      <xdr:rowOff>14287</xdr:rowOff>
    </xdr:from>
    <xdr:to>
      <xdr:col>8</xdr:col>
      <xdr:colOff>342900</xdr:colOff>
      <xdr:row>81</xdr:row>
      <xdr:rowOff>90487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492D1BD-DE45-7FBE-9127-7AB0F2A55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10256</xdr:colOff>
      <xdr:row>5</xdr:row>
      <xdr:rowOff>11742</xdr:rowOff>
    </xdr:from>
    <xdr:to>
      <xdr:col>19</xdr:col>
      <xdr:colOff>600075</xdr:colOff>
      <xdr:row>21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68EBB2-B5E3-494E-A4A1-ADC4452E5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604630</xdr:colOff>
      <xdr:row>4</xdr:row>
      <xdr:rowOff>188064</xdr:rowOff>
    </xdr:from>
    <xdr:to>
      <xdr:col>12</xdr:col>
      <xdr:colOff>0</xdr:colOff>
      <xdr:row>21</xdr:row>
      <xdr:rowOff>8770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588C85-A3ED-4BC1-B99E-F0B43694F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361950</xdr:colOff>
      <xdr:row>6</xdr:row>
      <xdr:rowOff>180975</xdr:rowOff>
    </xdr:from>
    <xdr:to>
      <xdr:col>3</xdr:col>
      <xdr:colOff>0</xdr:colOff>
      <xdr:row>19</xdr:row>
      <xdr:rowOff>76200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FA5C7FCF-70D0-948B-DEFF-C1EAF90B6DB3}"/>
            </a:ext>
          </a:extLst>
        </xdr:cNvPr>
        <xdr:cNvSpPr/>
      </xdr:nvSpPr>
      <xdr:spPr>
        <a:xfrm>
          <a:off x="971550" y="1752600"/>
          <a:ext cx="857250" cy="237172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133349</xdr:colOff>
      <xdr:row>9</xdr:row>
      <xdr:rowOff>142875</xdr:rowOff>
    </xdr:from>
    <xdr:to>
      <xdr:col>14</xdr:col>
      <xdr:colOff>352424</xdr:colOff>
      <xdr:row>20</xdr:row>
      <xdr:rowOff>152400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92488C1E-26F2-43EA-BBF0-84304EC54175}"/>
            </a:ext>
          </a:extLst>
        </xdr:cNvPr>
        <xdr:cNvSpPr/>
      </xdr:nvSpPr>
      <xdr:spPr>
        <a:xfrm>
          <a:off x="8191499" y="2286000"/>
          <a:ext cx="828675" cy="210502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9524</xdr:colOff>
      <xdr:row>24</xdr:row>
      <xdr:rowOff>9525</xdr:rowOff>
    </xdr:from>
    <xdr:to>
      <xdr:col>19</xdr:col>
      <xdr:colOff>600075</xdr:colOff>
      <xdr:row>38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4AB14DC-5BA2-4418-9B78-13BD506C3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56</xdr:row>
      <xdr:rowOff>180975</xdr:rowOff>
    </xdr:from>
    <xdr:to>
      <xdr:col>7</xdr:col>
      <xdr:colOff>9525</xdr:colOff>
      <xdr:row>71</xdr:row>
      <xdr:rowOff>28575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E1DEBE9-AA05-4BA0-91E5-894D62004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56</xdr:row>
      <xdr:rowOff>180975</xdr:rowOff>
    </xdr:from>
    <xdr:to>
      <xdr:col>14</xdr:col>
      <xdr:colOff>9525</xdr:colOff>
      <xdr:row>71</xdr:row>
      <xdr:rowOff>38100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DA47075-BBCB-497E-AC43-083723C4F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57</xdr:row>
      <xdr:rowOff>0</xdr:rowOff>
    </xdr:from>
    <xdr:to>
      <xdr:col>19</xdr:col>
      <xdr:colOff>600075</xdr:colOff>
      <xdr:row>71</xdr:row>
      <xdr:rowOff>47625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D8B36C7-7F60-4548-B670-F9755475C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41</xdr:row>
      <xdr:rowOff>9525</xdr:rowOff>
    </xdr:from>
    <xdr:to>
      <xdr:col>20</xdr:col>
      <xdr:colOff>0</xdr:colOff>
      <xdr:row>55</xdr:row>
      <xdr:rowOff>38100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7974FE0-4E00-43C3-8D3D-3AA9C0316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38100</xdr:colOff>
      <xdr:row>28</xdr:row>
      <xdr:rowOff>38099</xdr:rowOff>
    </xdr:from>
    <xdr:to>
      <xdr:col>15</xdr:col>
      <xdr:colOff>571500</xdr:colOff>
      <xdr:row>37</xdr:row>
      <xdr:rowOff>142874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AB031731-DFC7-488D-8C7E-9A855693CCF0}"/>
            </a:ext>
          </a:extLst>
        </xdr:cNvPr>
        <xdr:cNvSpPr/>
      </xdr:nvSpPr>
      <xdr:spPr>
        <a:xfrm>
          <a:off x="5048250" y="5943599"/>
          <a:ext cx="4800600" cy="181927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10</xdr:col>
      <xdr:colOff>600075</xdr:colOff>
      <xdr:row>26</xdr:row>
      <xdr:rowOff>114300</xdr:rowOff>
    </xdr:from>
    <xdr:ext cx="1257908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896E62D8-DD75-3D22-9F21-8922B693DE7D}"/>
            </a:ext>
          </a:extLst>
        </xdr:cNvPr>
        <xdr:cNvSpPr txBox="1"/>
      </xdr:nvSpPr>
      <xdr:spPr>
        <a:xfrm>
          <a:off x="6829425" y="5638800"/>
          <a:ext cx="12579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Identificar gargalos</a:t>
          </a:r>
        </a:p>
      </xdr:txBody>
    </xdr:sp>
    <xdr:clientData/>
  </xdr:oneCellAnchor>
  <xdr:twoCellAnchor>
    <xdr:from>
      <xdr:col>7</xdr:col>
      <xdr:colOff>600075</xdr:colOff>
      <xdr:row>57</xdr:row>
      <xdr:rowOff>0</xdr:rowOff>
    </xdr:from>
    <xdr:to>
      <xdr:col>19</xdr:col>
      <xdr:colOff>600074</xdr:colOff>
      <xdr:row>71</xdr:row>
      <xdr:rowOff>47625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CBE26C67-7E87-4997-8469-51C0BE7FC0C9}"/>
            </a:ext>
          </a:extLst>
        </xdr:cNvPr>
        <xdr:cNvSpPr/>
      </xdr:nvSpPr>
      <xdr:spPr>
        <a:xfrm>
          <a:off x="5000625" y="11601450"/>
          <a:ext cx="7315199" cy="271462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12</xdr:col>
      <xdr:colOff>152400</xdr:colOff>
      <xdr:row>55</xdr:row>
      <xdr:rowOff>85725</xdr:rowOff>
    </xdr:from>
    <xdr:ext cx="286277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765A6ADF-F07F-466F-A92E-0FB3301C619E}"/>
            </a:ext>
          </a:extLst>
        </xdr:cNvPr>
        <xdr:cNvSpPr txBox="1"/>
      </xdr:nvSpPr>
      <xdr:spPr>
        <a:xfrm>
          <a:off x="7600950" y="11306175"/>
          <a:ext cx="2862771" cy="264560"/>
        </a:xfrm>
        <a:prstGeom prst="rect">
          <a:avLst/>
        </a:prstGeom>
        <a:solidFill>
          <a:schemeClr val="lt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Clientes Desistindo/Não Convencidos</a:t>
          </a:r>
          <a:r>
            <a:rPr lang="pt-BR" sz="1100" baseline="0"/>
            <a:t> da Marca</a:t>
          </a:r>
          <a:endParaRPr lang="pt-BR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41.412737268518" createdVersion="8" refreshedVersion="8" minRefreshableVersion="3" recordCount="180" xr:uid="{C5358700-27D2-4FE8-A5F6-24279DB7278D}">
  <cacheSource type="worksheet">
    <worksheetSource name="Tabela1"/>
  </cacheSource>
  <cacheFields count="21">
    <cacheField name="id_lead" numFmtId="0">
      <sharedItems/>
    </cacheField>
    <cacheField name="data_interacao" numFmtId="164">
      <sharedItems containsSemiMixedTypes="0" containsNonDate="0" containsDate="1" containsString="0" minDate="2024-01-01T00:00:00" maxDate="2025-06-25T00:00:00"/>
    </cacheField>
    <cacheField name="canal_aquisicao" numFmtId="0">
      <sharedItems count="5">
        <s v="Meta Ads"/>
        <s v="Influenciador"/>
        <s v="Email"/>
        <s v="Google Ads"/>
        <s v="Orgânico"/>
      </sharedItems>
    </cacheField>
    <cacheField name="campanha" numFmtId="0">
      <sharedItems/>
    </cacheField>
    <cacheField name="objetivo_campanha" numFmtId="0">
      <sharedItems/>
    </cacheField>
    <cacheField name="investimento" numFmtId="0">
      <sharedItems containsSemiMixedTypes="0" containsString="0" containsNumber="1" containsInteger="1" minValue="690" maxValue="19691"/>
    </cacheField>
    <cacheField name="visitantes" numFmtId="0">
      <sharedItems containsSemiMixedTypes="0" containsString="0" containsNumber="1" containsInteger="1" minValue="114" maxValue="4984"/>
    </cacheField>
    <cacheField name="leads_gerados" numFmtId="0">
      <sharedItems containsSemiMixedTypes="0" containsString="0" containsNumber="1" containsInteger="1" minValue="3" maxValue="300"/>
    </cacheField>
    <cacheField name="etapa_funil" numFmtId="0">
      <sharedItems/>
    </cacheField>
    <cacheField name="tempo_etapa_dias" numFmtId="0">
      <sharedItems containsSemiMixedTypes="0" containsString="0" containsNumber="1" containsInteger="1" minValue="1" maxValue="40"/>
    </cacheField>
    <cacheField name="converteu_cliente" numFmtId="0">
      <sharedItems count="2">
        <s v="Não"/>
        <s v="Sim"/>
      </sharedItems>
    </cacheField>
    <cacheField name="valor_venda" numFmtId="0">
      <sharedItems containsSemiMixedTypes="0" containsString="0" containsNumber="1" containsInteger="1" minValue="0" maxValue="898"/>
    </cacheField>
    <cacheField name="ticket_medio" numFmtId="0">
      <sharedItems containsSemiMixedTypes="0" containsString="0" containsNumber="1" minValue="0" maxValue="898"/>
    </cacheField>
    <cacheField name="idade" numFmtId="0">
      <sharedItems containsSemiMixedTypes="0" containsString="0" containsNumber="1" containsInteger="1" minValue="18" maxValue="65"/>
    </cacheField>
    <cacheField name="genero" numFmtId="0">
      <sharedItems/>
    </cacheField>
    <cacheField name="cidade" numFmtId="0">
      <sharedItems/>
    </cacheField>
    <cacheField name="engajamento_score" numFmtId="0">
      <sharedItems containsSemiMixedTypes="0" containsString="0" containsNumber="1" containsInteger="1" minValue="1" maxValue="100"/>
    </cacheField>
    <cacheField name="status_cliente" numFmtId="0">
      <sharedItems/>
    </cacheField>
    <cacheField name="ltv_estimado" numFmtId="0">
      <sharedItems containsSemiMixedTypes="0" containsString="0" containsNumber="1" containsInteger="1" minValue="300" maxValue="5975"/>
    </cacheField>
    <cacheField name="CPL" numFmtId="166">
      <sharedItems containsSemiMixedTypes="0" containsString="0" containsNumber="1" minValue="2.6136363636363638" maxValue="4543.5"/>
    </cacheField>
    <cacheField name="CAC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41.527745486113" backgroundQuery="1" createdVersion="8" refreshedVersion="8" minRefreshableVersion="3" recordCount="0" supportSubquery="1" supportAdvancedDrill="1" xr:uid="{76E9B417-FAB6-4CF0-BD95-5359BA7F3E19}">
  <cacheSource type="external" connectionId="1"/>
  <cacheFields count="2">
    <cacheField name="[Tabela1].[faixa_etaria].[faixa_etaria]" caption="faixa_etaria" numFmtId="0" hierarchy="25" level="1">
      <sharedItems count="3">
        <s v="Adulto"/>
        <s v="Jovem"/>
        <s v="Sênior"/>
      </sharedItems>
    </cacheField>
    <cacheField name="[Measures].[Soma de ticket_medio]" caption="Soma de ticket_medio" numFmtId="0" hierarchy="35" level="32767"/>
  </cacheFields>
  <cacheHierarchies count="37">
    <cacheHierarchy uniqueName="[Tabela1].[id_lead]" caption="id_lead" attribute="1" defaultMemberUniqueName="[Tabela1].[id_lead].[All]" allUniqueName="[Tabela1].[id_lead].[All]" dimensionUniqueName="[Tabela1]" displayFolder="" count="0" memberValueDatatype="130" unbalanced="0"/>
    <cacheHierarchy uniqueName="[Tabela1].[data_interacao]" caption="data_interacao" attribute="1" time="1" defaultMemberUniqueName="[Tabela1].[data_interacao].[All]" allUniqueName="[Tabela1].[data_interacao].[All]" dimensionUniqueName="[Tabela1]" displayFolder="" count="0" memberValueDatatype="7" unbalanced="0"/>
    <cacheHierarchy uniqueName="[Tabela1].[canal_aquisicao]" caption="canal_aquisicao" attribute="1" defaultMemberUniqueName="[Tabela1].[canal_aquisicao].[All]" allUniqueName="[Tabela1].[canal_aquisicao].[All]" dimensionUniqueName="[Tabela1]" displayFolder="" count="0" memberValueDatatype="130" unbalanced="0"/>
    <cacheHierarchy uniqueName="[Tabela1].[campanha]" caption="campanha" attribute="1" defaultMemberUniqueName="[Tabela1].[campanha].[All]" allUniqueName="[Tabela1].[campanha].[All]" dimensionUniqueName="[Tabela1]" displayFolder="" count="0" memberValueDatatype="130" unbalanced="0"/>
    <cacheHierarchy uniqueName="[Tabela1].[objetivo_campanha]" caption="objetivo_campanha" attribute="1" defaultMemberUniqueName="[Tabela1].[objetivo_campanha].[All]" allUniqueName="[Tabela1].[objetivo_campanha].[All]" dimensionUniqueName="[Tabela1]" displayFolder="" count="0" memberValueDatatype="130" unbalanced="0"/>
    <cacheHierarchy uniqueName="[Tabela1].[investimento]" caption="investimento" attribute="1" defaultMemberUniqueName="[Tabela1].[investimento].[All]" allUniqueName="[Tabela1].[investimento].[All]" dimensionUniqueName="[Tabela1]" displayFolder="" count="0" memberValueDatatype="20" unbalanced="0"/>
    <cacheHierarchy uniqueName="[Tabela1].[visitantes]" caption="visitantes" attribute="1" defaultMemberUniqueName="[Tabela1].[visitantes].[All]" allUniqueName="[Tabela1].[visitantes].[All]" dimensionUniqueName="[Tabela1]" displayFolder="" count="0" memberValueDatatype="20" unbalanced="0"/>
    <cacheHierarchy uniqueName="[Tabela1].[leads_gerados]" caption="leads_gerados" attribute="1" defaultMemberUniqueName="[Tabela1].[leads_gerados].[All]" allUniqueName="[Tabela1].[leads_gerados].[All]" dimensionUniqueName="[Tabela1]" displayFolder="" count="0" memberValueDatatype="20" unbalanced="0"/>
    <cacheHierarchy uniqueName="[Tabela1].[etapa_funil]" caption="etapa_funil" attribute="1" defaultMemberUniqueName="[Tabela1].[etapa_funil].[All]" allUniqueName="[Tabela1].[etapa_funil].[All]" dimensionUniqueName="[Tabela1]" displayFolder="" count="0" memberValueDatatype="130" unbalanced="0"/>
    <cacheHierarchy uniqueName="[Tabela1].[tempo_etapa_dias]" caption="tempo_etapa_dias" attribute="1" defaultMemberUniqueName="[Tabela1].[tempo_etapa_dias].[All]" allUniqueName="[Tabela1].[tempo_etapa_dias].[All]" dimensionUniqueName="[Tabela1]" displayFolder="" count="0" memberValueDatatype="20" unbalanced="0"/>
    <cacheHierarchy uniqueName="[Tabela1].[converteu_cliente]" caption="converteu_cliente" attribute="1" defaultMemberUniqueName="[Tabela1].[converteu_cliente].[All]" allUniqueName="[Tabela1].[converteu_cliente].[All]" dimensionUniqueName="[Tabela1]" displayFolder="" count="0" memberValueDatatype="130" unbalanced="0"/>
    <cacheHierarchy uniqueName="[Tabela1].[valor_venda]" caption="valor_venda" attribute="1" defaultMemberUniqueName="[Tabela1].[valor_venda].[All]" allUniqueName="[Tabela1].[valor_venda].[All]" dimensionUniqueName="[Tabela1]" displayFolder="" count="0" memberValueDatatype="20" unbalanced="0"/>
    <cacheHierarchy uniqueName="[Tabela1].[ticket_medio]" caption="ticket_medio" attribute="1" defaultMemberUniqueName="[Tabela1].[ticket_medio].[All]" allUniqueName="[Tabela1].[ticket_medio].[All]" dimensionUniqueName="[Tabela1]" displayFolder="" count="0" memberValueDatatype="5" unbalanced="0"/>
    <cacheHierarchy uniqueName="[Tabela1].[idade]" caption="idade" attribute="1" defaultMemberUniqueName="[Tabela1].[idade].[All]" allUniqueName="[Tabela1].[idade].[All]" dimensionUniqueName="[Tabela1]" displayFolder="" count="0" memberValueDatatype="20" unbalanced="0"/>
    <cacheHierarchy uniqueName="[Tabela1].[genero]" caption="genero" attribute="1" defaultMemberUniqueName="[Tabela1].[genero].[All]" allUniqueName="[Tabela1].[genero].[All]" dimensionUniqueName="[Tabela1]" displayFolder="" count="0" memberValueDatatype="130" unbalanced="0"/>
    <cacheHierarchy uniqueName="[Tabela1].[cidade]" caption="cidade" attribute="1" defaultMemberUniqueName="[Tabela1].[cidade].[All]" allUniqueName="[Tabela1].[cidade].[All]" dimensionUniqueName="[Tabela1]" displayFolder="" count="0" memberValueDatatype="130" unbalanced="0"/>
    <cacheHierarchy uniqueName="[Tabela1].[engajamento_score]" caption="engajamento_score" attribute="1" defaultMemberUniqueName="[Tabela1].[engajamento_score].[All]" allUniqueName="[Tabela1].[engajamento_score].[All]" dimensionUniqueName="[Tabela1]" displayFolder="" count="0" memberValueDatatype="20" unbalanced="0"/>
    <cacheHierarchy uniqueName="[Tabela1].[status_cliente]" caption="status_cliente" attribute="1" defaultMemberUniqueName="[Tabela1].[status_cliente].[All]" allUniqueName="[Tabela1].[status_cliente].[All]" dimensionUniqueName="[Tabela1]" displayFolder="" count="0" memberValueDatatype="130" unbalanced="0"/>
    <cacheHierarchy uniqueName="[Tabela1].[ltv_estimado]" caption="ltv_estimado" attribute="1" defaultMemberUniqueName="[Tabela1].[ltv_estimado].[All]" allUniqueName="[Tabela1].[ltv_estimado].[All]" dimensionUniqueName="[Tabela1]" displayFolder="" count="0" memberValueDatatype="20" unbalanced="0"/>
    <cacheHierarchy uniqueName="[Tabela1].[CPL]" caption="CPL" attribute="1" defaultMemberUniqueName="[Tabela1].[CPL].[All]" allUniqueName="[Tabela1].[CPL].[All]" dimensionUniqueName="[Tabela1]" displayFolder="" count="0" memberValueDatatype="5" unbalanced="0"/>
    <cacheHierarchy uniqueName="[Tabela1].[CAC]" caption="CAC" attribute="1" defaultMemberUniqueName="[Tabela1].[CAC].[All]" allUniqueName="[Tabela1].[CAC].[All]" dimensionUniqueName="[Tabela1]" displayFolder="" count="0" memberValueDatatype="5" unbalanced="0"/>
    <cacheHierarchy uniqueName="[Tabela1].[lead_qualificado]" caption="lead_qualificado" attribute="1" defaultMemberUniqueName="[Tabela1].[lead_qualificado].[All]" allUniqueName="[Tabela1].[lead_qualificado].[All]" dimensionUniqueName="[Tabela1]" displayFolder="" count="0" memberValueDatatype="130" unbalanced="0"/>
    <cacheHierarchy uniqueName="[Tabela1].[canal_tipo]" caption="canal_tipo" attribute="1" defaultMemberUniqueName="[Tabela1].[canal_tipo].[All]" allUniqueName="[Tabela1].[canal_tipo].[All]" dimensionUniqueName="[Tabela1]" displayFolder="" count="0" memberValueDatatype="130" unbalanced="0"/>
    <cacheHierarchy uniqueName="[Tabela1].[nivel_engajamento]" caption="nivel_engajamento" attribute="1" defaultMemberUniqueName="[Tabela1].[nivel_engajamento].[All]" allUniqueName="[Tabela1].[nivel_engajamento].[All]" dimensionUniqueName="[Tabela1]" displayFolder="" count="0" memberValueDatatype="130" unbalanced="0"/>
    <cacheHierarchy uniqueName="[Tabela1].[ticket_categoria]" caption="ticket_categoria" attribute="1" defaultMemberUniqueName="[Tabela1].[ticket_categoria].[All]" allUniqueName="[Tabela1].[ticket_categoria].[All]" dimensionUniqueName="[Tabela1]" displayFolder="" count="0" memberValueDatatype="130" unbalanced="0"/>
    <cacheHierarchy uniqueName="[Tabela1].[faixa_etaria]" caption="faixa_etaria" attribute="1" defaultMemberUniqueName="[Tabela1].[faixa_etaria].[All]" allUniqueName="[Tabela1].[faixa_etaria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outlier_investimento]" caption="outlier_investimento" attribute="1" defaultMemberUniqueName="[Tabela1].[outlier_investimento].[All]" allUniqueName="[Tabela1].[outlier_investimento].[All]" dimensionUniqueName="[Tabela1]" displayFolder="" count="0" memberValueDatatype="130" unbalanced="0"/>
    <cacheHierarchy uniqueName="[Tabela1].[outlier_visitantes]" caption="outlier_visitantes" attribute="1" defaultMemberUniqueName="[Tabela1].[outlier_visitantes].[All]" allUniqueName="[Tabela1].[outlier_visitantes].[All]" dimensionUniqueName="[Tabela1]" displayFolder="" count="0" memberValueDatatype="130" unbalanced="0"/>
    <cacheHierarchy uniqueName="[Tabela1].[outlier_leads_gerados]" caption="outlier_leads_gerados" attribute="1" defaultMemberUniqueName="[Tabela1].[outlier_leads_gerados].[All]" allUniqueName="[Tabela1].[outlier_leads_gerados].[All]" dimensionUniqueName="[Tabela1]" displayFolder="" count="0" memberValueDatatype="130" unbalanced="0"/>
    <cacheHierarchy uniqueName="[Tabela1].[outlier_ltv]" caption="outlier_ltv" attribute="1" defaultMemberUniqueName="[Tabela1].[outlier_ltv].[All]" allUniqueName="[Tabela1].[outlier_ltv].[All]" dimensionUniqueName="[Tabela1]" displayFolder="" count="0" memberValueDatatype="130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ltv_estimado]" caption="Soma de ltv_estimado" measure="1" displayFolder="" measureGroup="Tabela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CAC]" caption="Soma de CAC" measure="1" displayFolder="" measureGroup="Tabe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ntagem de CAC]" caption="Contagem de CAC" measure="1" displayFolder="" measureGroup="Tabe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ticket_medio]" caption="Soma de ticket_medio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id_lead]" caption="Contagem de id_lead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41.534023263892" backgroundQuery="1" createdVersion="8" refreshedVersion="8" minRefreshableVersion="3" recordCount="0" supportSubquery="1" supportAdvancedDrill="1" xr:uid="{DCD0BD85-7004-46C0-ABCA-975F41CC0258}">
  <cacheSource type="external" connectionId="1"/>
  <cacheFields count="2">
    <cacheField name="[Tabela1].[etapa_funil].[etapa_funil]" caption="etapa_funil" numFmtId="0" hierarchy="8" level="1">
      <sharedItems count="6">
        <s v="Cliente"/>
        <s v="Lead"/>
        <s v="MQL"/>
        <s v="Oportunidade"/>
        <s v="SQL"/>
        <s v="Visitante"/>
      </sharedItems>
    </cacheField>
    <cacheField name="[Measures].[Contagem de id_lead]" caption="Contagem de id_lead" numFmtId="0" hierarchy="36" level="32767"/>
  </cacheFields>
  <cacheHierarchies count="37">
    <cacheHierarchy uniqueName="[Tabela1].[id_lead]" caption="id_lead" attribute="1" defaultMemberUniqueName="[Tabela1].[id_lead].[All]" allUniqueName="[Tabela1].[id_lead].[All]" dimensionUniqueName="[Tabela1]" displayFolder="" count="2" memberValueDatatype="130" unbalanced="0"/>
    <cacheHierarchy uniqueName="[Tabela1].[data_interacao]" caption="data_interacao" attribute="1" time="1" defaultMemberUniqueName="[Tabela1].[data_interacao].[All]" allUniqueName="[Tabela1].[data_interacao].[All]" dimensionUniqueName="[Tabela1]" displayFolder="" count="0" memberValueDatatype="7" unbalanced="0"/>
    <cacheHierarchy uniqueName="[Tabela1].[canal_aquisicao]" caption="canal_aquisicao" attribute="1" defaultMemberUniqueName="[Tabela1].[canal_aquisicao].[All]" allUniqueName="[Tabela1].[canal_aquisicao].[All]" dimensionUniqueName="[Tabela1]" displayFolder="" count="0" memberValueDatatype="130" unbalanced="0"/>
    <cacheHierarchy uniqueName="[Tabela1].[campanha]" caption="campanha" attribute="1" defaultMemberUniqueName="[Tabela1].[campanha].[All]" allUniqueName="[Tabela1].[campanha].[All]" dimensionUniqueName="[Tabela1]" displayFolder="" count="0" memberValueDatatype="130" unbalanced="0"/>
    <cacheHierarchy uniqueName="[Tabela1].[objetivo_campanha]" caption="objetivo_campanha" attribute="1" defaultMemberUniqueName="[Tabela1].[objetivo_campanha].[All]" allUniqueName="[Tabela1].[objetivo_campanha].[All]" dimensionUniqueName="[Tabela1]" displayFolder="" count="0" memberValueDatatype="130" unbalanced="0"/>
    <cacheHierarchy uniqueName="[Tabela1].[investimento]" caption="investimento" attribute="1" defaultMemberUniqueName="[Tabela1].[investimento].[All]" allUniqueName="[Tabela1].[investimento].[All]" dimensionUniqueName="[Tabela1]" displayFolder="" count="0" memberValueDatatype="20" unbalanced="0"/>
    <cacheHierarchy uniqueName="[Tabela1].[visitantes]" caption="visitantes" attribute="1" defaultMemberUniqueName="[Tabela1].[visitantes].[All]" allUniqueName="[Tabela1].[visitantes].[All]" dimensionUniqueName="[Tabela1]" displayFolder="" count="0" memberValueDatatype="20" unbalanced="0"/>
    <cacheHierarchy uniqueName="[Tabela1].[leads_gerados]" caption="leads_gerados" attribute="1" defaultMemberUniqueName="[Tabela1].[leads_gerados].[All]" allUniqueName="[Tabela1].[leads_gerados].[All]" dimensionUniqueName="[Tabela1]" displayFolder="" count="0" memberValueDatatype="20" unbalanced="0"/>
    <cacheHierarchy uniqueName="[Tabela1].[etapa_funil]" caption="etapa_funil" attribute="1" defaultMemberUniqueName="[Tabela1].[etapa_funil].[All]" allUniqueName="[Tabela1].[etapa_funil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tempo_etapa_dias]" caption="tempo_etapa_dias" attribute="1" defaultMemberUniqueName="[Tabela1].[tempo_etapa_dias].[All]" allUniqueName="[Tabela1].[tempo_etapa_dias].[All]" dimensionUniqueName="[Tabela1]" displayFolder="" count="0" memberValueDatatype="20" unbalanced="0"/>
    <cacheHierarchy uniqueName="[Tabela1].[converteu_cliente]" caption="converteu_cliente" attribute="1" defaultMemberUniqueName="[Tabela1].[converteu_cliente].[All]" allUniqueName="[Tabela1].[converteu_cliente].[All]" dimensionUniqueName="[Tabela1]" displayFolder="" count="0" memberValueDatatype="130" unbalanced="0"/>
    <cacheHierarchy uniqueName="[Tabela1].[valor_venda]" caption="valor_venda" attribute="1" defaultMemberUniqueName="[Tabela1].[valor_venda].[All]" allUniqueName="[Tabela1].[valor_venda].[All]" dimensionUniqueName="[Tabela1]" displayFolder="" count="0" memberValueDatatype="20" unbalanced="0"/>
    <cacheHierarchy uniqueName="[Tabela1].[ticket_medio]" caption="ticket_medio" attribute="1" defaultMemberUniqueName="[Tabela1].[ticket_medio].[All]" allUniqueName="[Tabela1].[ticket_medio].[All]" dimensionUniqueName="[Tabela1]" displayFolder="" count="0" memberValueDatatype="5" unbalanced="0"/>
    <cacheHierarchy uniqueName="[Tabela1].[idade]" caption="idade" attribute="1" defaultMemberUniqueName="[Tabela1].[idade].[All]" allUniqueName="[Tabela1].[idade].[All]" dimensionUniqueName="[Tabela1]" displayFolder="" count="0" memberValueDatatype="20" unbalanced="0"/>
    <cacheHierarchy uniqueName="[Tabela1].[genero]" caption="genero" attribute="1" defaultMemberUniqueName="[Tabela1].[genero].[All]" allUniqueName="[Tabela1].[genero].[All]" dimensionUniqueName="[Tabela1]" displayFolder="" count="0" memberValueDatatype="130" unbalanced="0"/>
    <cacheHierarchy uniqueName="[Tabela1].[cidade]" caption="cidade" attribute="1" defaultMemberUniqueName="[Tabela1].[cidade].[All]" allUniqueName="[Tabela1].[cidade].[All]" dimensionUniqueName="[Tabela1]" displayFolder="" count="0" memberValueDatatype="130" unbalanced="0"/>
    <cacheHierarchy uniqueName="[Tabela1].[engajamento_score]" caption="engajamento_score" attribute="1" defaultMemberUniqueName="[Tabela1].[engajamento_score].[All]" allUniqueName="[Tabela1].[engajamento_score].[All]" dimensionUniqueName="[Tabela1]" displayFolder="" count="0" memberValueDatatype="20" unbalanced="0"/>
    <cacheHierarchy uniqueName="[Tabela1].[status_cliente]" caption="status_cliente" attribute="1" defaultMemberUniqueName="[Tabela1].[status_cliente].[All]" allUniqueName="[Tabela1].[status_cliente].[All]" dimensionUniqueName="[Tabela1]" displayFolder="" count="0" memberValueDatatype="130" unbalanced="0"/>
    <cacheHierarchy uniqueName="[Tabela1].[ltv_estimado]" caption="ltv_estimado" attribute="1" defaultMemberUniqueName="[Tabela1].[ltv_estimado].[All]" allUniqueName="[Tabela1].[ltv_estimado].[All]" dimensionUniqueName="[Tabela1]" displayFolder="" count="0" memberValueDatatype="20" unbalanced="0"/>
    <cacheHierarchy uniqueName="[Tabela1].[CPL]" caption="CPL" attribute="1" defaultMemberUniqueName="[Tabela1].[CPL].[All]" allUniqueName="[Tabela1].[CPL].[All]" dimensionUniqueName="[Tabela1]" displayFolder="" count="0" memberValueDatatype="5" unbalanced="0"/>
    <cacheHierarchy uniqueName="[Tabela1].[CAC]" caption="CAC" attribute="1" defaultMemberUniqueName="[Tabela1].[CAC].[All]" allUniqueName="[Tabela1].[CAC].[All]" dimensionUniqueName="[Tabela1]" displayFolder="" count="0" memberValueDatatype="5" unbalanced="0"/>
    <cacheHierarchy uniqueName="[Tabela1].[lead_qualificado]" caption="lead_qualificado" attribute="1" defaultMemberUniqueName="[Tabela1].[lead_qualificado].[All]" allUniqueName="[Tabela1].[lead_qualificado].[All]" dimensionUniqueName="[Tabela1]" displayFolder="" count="0" memberValueDatatype="130" unbalanced="0"/>
    <cacheHierarchy uniqueName="[Tabela1].[canal_tipo]" caption="canal_tipo" attribute="1" defaultMemberUniqueName="[Tabela1].[canal_tipo].[All]" allUniqueName="[Tabela1].[canal_tipo].[All]" dimensionUniqueName="[Tabela1]" displayFolder="" count="0" memberValueDatatype="130" unbalanced="0"/>
    <cacheHierarchy uniqueName="[Tabela1].[nivel_engajamento]" caption="nivel_engajamento" attribute="1" defaultMemberUniqueName="[Tabela1].[nivel_engajamento].[All]" allUniqueName="[Tabela1].[nivel_engajamento].[All]" dimensionUniqueName="[Tabela1]" displayFolder="" count="0" memberValueDatatype="130" unbalanced="0"/>
    <cacheHierarchy uniqueName="[Tabela1].[ticket_categoria]" caption="ticket_categoria" attribute="1" defaultMemberUniqueName="[Tabela1].[ticket_categoria].[All]" allUniqueName="[Tabela1].[ticket_categoria].[All]" dimensionUniqueName="[Tabela1]" displayFolder="" count="0" memberValueDatatype="130" unbalanced="0"/>
    <cacheHierarchy uniqueName="[Tabela1].[faixa_etaria]" caption="faixa_etaria" attribute="1" defaultMemberUniqueName="[Tabela1].[faixa_etaria].[All]" allUniqueName="[Tabela1].[faixa_etaria].[All]" dimensionUniqueName="[Tabela1]" displayFolder="" count="0" memberValueDatatype="130" unbalanced="0"/>
    <cacheHierarchy uniqueName="[Tabela1].[outlier_investimento]" caption="outlier_investimento" attribute="1" defaultMemberUniqueName="[Tabela1].[outlier_investimento].[All]" allUniqueName="[Tabela1].[outlier_investimento].[All]" dimensionUniqueName="[Tabela1]" displayFolder="" count="0" memberValueDatatype="130" unbalanced="0"/>
    <cacheHierarchy uniqueName="[Tabela1].[outlier_visitantes]" caption="outlier_visitantes" attribute="1" defaultMemberUniqueName="[Tabela1].[outlier_visitantes].[All]" allUniqueName="[Tabela1].[outlier_visitantes].[All]" dimensionUniqueName="[Tabela1]" displayFolder="" count="0" memberValueDatatype="130" unbalanced="0"/>
    <cacheHierarchy uniqueName="[Tabela1].[outlier_leads_gerados]" caption="outlier_leads_gerados" attribute="1" defaultMemberUniqueName="[Tabela1].[outlier_leads_gerados].[All]" allUniqueName="[Tabela1].[outlier_leads_gerados].[All]" dimensionUniqueName="[Tabela1]" displayFolder="" count="0" memberValueDatatype="130" unbalanced="0"/>
    <cacheHierarchy uniqueName="[Tabela1].[outlier_ltv]" caption="outlier_ltv" attribute="1" defaultMemberUniqueName="[Tabela1].[outlier_ltv].[All]" allUniqueName="[Tabela1].[outlier_ltv].[All]" dimensionUniqueName="[Tabela1]" displayFolder="" count="0" memberValueDatatype="130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ltv_estimado]" caption="Soma de ltv_estimado" measure="1" displayFolder="" measureGroup="Tabela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CAC]" caption="Soma de CAC" measure="1" displayFolder="" measureGroup="Tabe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ntagem de CAC]" caption="Contagem de CAC" measure="1" displayFolder="" measureGroup="Tabe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ticket_medio]" caption="Soma de ticket_medio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id_lead]" caption="Contagem de id_lead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41.527399421298" backgroundQuery="1" createdVersion="8" refreshedVersion="8" minRefreshableVersion="3" recordCount="0" supportSubquery="1" supportAdvancedDrill="1" xr:uid="{CFA78FA8-67DA-45FA-A374-324E2C498712}">
  <cacheSource type="external" connectionId="1"/>
  <cacheFields count="3">
    <cacheField name="[Tabela1].[faixa_etaria].[faixa_etaria]" caption="faixa_etaria" numFmtId="0" hierarchy="28" level="1">
      <sharedItems count="3">
        <s v="Adulto"/>
        <s v="Jovem"/>
        <s v="Sênior"/>
      </sharedItems>
    </cacheField>
    <cacheField name="[Tabela1].[status_cliente].[status_cliente]" caption="status_cliente" numFmtId="0" hierarchy="20" level="1">
      <sharedItems count="3">
        <s v="Ativo"/>
        <s v="Churn"/>
        <s v="Inativo"/>
      </sharedItems>
    </cacheField>
    <cacheField name="[Measures].[Contagem de CAC]" caption="Contagem de CAC" numFmtId="0" hierarchy="38" level="32767"/>
  </cacheFields>
  <cacheHierarchies count="41">
    <cacheHierarchy uniqueName="[Intervalo].[Faixa Etária]" caption="Faixa Etária" attribute="1" defaultMemberUniqueName="[Intervalo].[Faixa Etária].[All]" allUniqueName="[Intervalo].[Faixa Etária].[All]" dimensionUniqueName="[Intervalo]" displayFolder="" count="0" memberValueDatatype="130" unbalanced="0"/>
    <cacheHierarchy uniqueName="[Intervalo].[Ativo]" caption="Ativo" attribute="1" defaultMemberUniqueName="[Intervalo].[Ativo].[All]" allUniqueName="[Intervalo].[Ativo].[All]" dimensionUniqueName="[Intervalo]" displayFolder="" count="0" memberValueDatatype="20" unbalanced="0"/>
    <cacheHierarchy uniqueName="[Intervalo].[Churn]" caption="Churn" attribute="1" defaultMemberUniqueName="[Intervalo].[Churn].[All]" allUniqueName="[Intervalo].[Churn].[All]" dimensionUniqueName="[Intervalo]" displayFolder="" count="0" memberValueDatatype="20" unbalanced="0"/>
    <cacheHierarchy uniqueName="[Tabela1].[id_lead]" caption="id_lead" attribute="1" defaultMemberUniqueName="[Tabela1].[id_lead].[All]" allUniqueName="[Tabela1].[id_lead].[All]" dimensionUniqueName="[Tabela1]" displayFolder="" count="0" memberValueDatatype="130" unbalanced="0"/>
    <cacheHierarchy uniqueName="[Tabela1].[data_interacao]" caption="data_interacao" attribute="1" time="1" defaultMemberUniqueName="[Tabela1].[data_interacao].[All]" allUniqueName="[Tabela1].[data_interacao].[All]" dimensionUniqueName="[Tabela1]" displayFolder="" count="0" memberValueDatatype="7" unbalanced="0"/>
    <cacheHierarchy uniqueName="[Tabela1].[canal_aquisicao]" caption="canal_aquisicao" attribute="1" defaultMemberUniqueName="[Tabela1].[canal_aquisicao].[All]" allUniqueName="[Tabela1].[canal_aquisicao].[All]" dimensionUniqueName="[Tabela1]" displayFolder="" count="0" memberValueDatatype="130" unbalanced="0"/>
    <cacheHierarchy uniqueName="[Tabela1].[campanha]" caption="campanha" attribute="1" defaultMemberUniqueName="[Tabela1].[campanha].[All]" allUniqueName="[Tabela1].[campanha].[All]" dimensionUniqueName="[Tabela1]" displayFolder="" count="0" memberValueDatatype="130" unbalanced="0"/>
    <cacheHierarchy uniqueName="[Tabela1].[objetivo_campanha]" caption="objetivo_campanha" attribute="1" defaultMemberUniqueName="[Tabela1].[objetivo_campanha].[All]" allUniqueName="[Tabela1].[objetivo_campanha].[All]" dimensionUniqueName="[Tabela1]" displayFolder="" count="0" memberValueDatatype="130" unbalanced="0"/>
    <cacheHierarchy uniqueName="[Tabela1].[investimento]" caption="investimento" attribute="1" defaultMemberUniqueName="[Tabela1].[investimento].[All]" allUniqueName="[Tabela1].[investimento].[All]" dimensionUniqueName="[Tabela1]" displayFolder="" count="0" memberValueDatatype="20" unbalanced="0"/>
    <cacheHierarchy uniqueName="[Tabela1].[visitantes]" caption="visitantes" attribute="1" defaultMemberUniqueName="[Tabela1].[visitantes].[All]" allUniqueName="[Tabela1].[visitantes].[All]" dimensionUniqueName="[Tabela1]" displayFolder="" count="0" memberValueDatatype="20" unbalanced="0"/>
    <cacheHierarchy uniqueName="[Tabela1].[leads_gerados]" caption="leads_gerados" attribute="1" defaultMemberUniqueName="[Tabela1].[leads_gerados].[All]" allUniqueName="[Tabela1].[leads_gerados].[All]" dimensionUniqueName="[Tabela1]" displayFolder="" count="0" memberValueDatatype="20" unbalanced="0"/>
    <cacheHierarchy uniqueName="[Tabela1].[etapa_funil]" caption="etapa_funil" attribute="1" defaultMemberUniqueName="[Tabela1].[etapa_funil].[All]" allUniqueName="[Tabela1].[etapa_funil].[All]" dimensionUniqueName="[Tabela1]" displayFolder="" count="0" memberValueDatatype="130" unbalanced="0"/>
    <cacheHierarchy uniqueName="[Tabela1].[tempo_etapa_dias]" caption="tempo_etapa_dias" attribute="1" defaultMemberUniqueName="[Tabela1].[tempo_etapa_dias].[All]" allUniqueName="[Tabela1].[tempo_etapa_dias].[All]" dimensionUniqueName="[Tabela1]" displayFolder="" count="0" memberValueDatatype="20" unbalanced="0"/>
    <cacheHierarchy uniqueName="[Tabela1].[converteu_cliente]" caption="converteu_cliente" attribute="1" defaultMemberUniqueName="[Tabela1].[converteu_cliente].[All]" allUniqueName="[Tabela1].[converteu_cliente].[All]" dimensionUniqueName="[Tabela1]" displayFolder="" count="0" memberValueDatatype="130" unbalanced="0"/>
    <cacheHierarchy uniqueName="[Tabela1].[valor_venda]" caption="valor_venda" attribute="1" defaultMemberUniqueName="[Tabela1].[valor_venda].[All]" allUniqueName="[Tabela1].[valor_venda].[All]" dimensionUniqueName="[Tabela1]" displayFolder="" count="0" memberValueDatatype="20" unbalanced="0"/>
    <cacheHierarchy uniqueName="[Tabela1].[ticket_medio]" caption="ticket_medio" attribute="1" defaultMemberUniqueName="[Tabela1].[ticket_medio].[All]" allUniqueName="[Tabela1].[ticket_medio].[All]" dimensionUniqueName="[Tabela1]" displayFolder="" count="0" memberValueDatatype="5" unbalanced="0"/>
    <cacheHierarchy uniqueName="[Tabela1].[idade]" caption="idade" attribute="1" defaultMemberUniqueName="[Tabela1].[idade].[All]" allUniqueName="[Tabela1].[idade].[All]" dimensionUniqueName="[Tabela1]" displayFolder="" count="0" memberValueDatatype="20" unbalanced="0"/>
    <cacheHierarchy uniqueName="[Tabela1].[genero]" caption="genero" attribute="1" defaultMemberUniqueName="[Tabela1].[genero].[All]" allUniqueName="[Tabela1].[genero].[All]" dimensionUniqueName="[Tabela1]" displayFolder="" count="0" memberValueDatatype="130" unbalanced="0"/>
    <cacheHierarchy uniqueName="[Tabela1].[cidade]" caption="cidade" attribute="1" defaultMemberUniqueName="[Tabela1].[cidade].[All]" allUniqueName="[Tabela1].[cidade].[All]" dimensionUniqueName="[Tabela1]" displayFolder="" count="0" memberValueDatatype="130" unbalanced="0"/>
    <cacheHierarchy uniqueName="[Tabela1].[engajamento_score]" caption="engajamento_score" attribute="1" defaultMemberUniqueName="[Tabela1].[engajamento_score].[All]" allUniqueName="[Tabela1].[engajamento_score].[All]" dimensionUniqueName="[Tabela1]" displayFolder="" count="0" memberValueDatatype="20" unbalanced="0"/>
    <cacheHierarchy uniqueName="[Tabela1].[status_cliente]" caption="status_cliente" attribute="1" defaultMemberUniqueName="[Tabela1].[status_cliente].[All]" allUniqueName="[Tabela1].[status_cliente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ltv_estimado]" caption="ltv_estimado" attribute="1" defaultMemberUniqueName="[Tabela1].[ltv_estimado].[All]" allUniqueName="[Tabela1].[ltv_estimado].[All]" dimensionUniqueName="[Tabela1]" displayFolder="" count="0" memberValueDatatype="20" unbalanced="0"/>
    <cacheHierarchy uniqueName="[Tabela1].[CPL]" caption="CPL" attribute="1" defaultMemberUniqueName="[Tabela1].[CPL].[All]" allUniqueName="[Tabela1].[CPL].[All]" dimensionUniqueName="[Tabela1]" displayFolder="" count="0" memberValueDatatype="5" unbalanced="0"/>
    <cacheHierarchy uniqueName="[Tabela1].[CAC]" caption="CAC" attribute="1" defaultMemberUniqueName="[Tabela1].[CAC].[All]" allUniqueName="[Tabela1].[CAC].[All]" dimensionUniqueName="[Tabela1]" displayFolder="" count="0" memberValueDatatype="5" unbalanced="0"/>
    <cacheHierarchy uniqueName="[Tabela1].[lead_qualificado]" caption="lead_qualificado" attribute="1" defaultMemberUniqueName="[Tabela1].[lead_qualificado].[All]" allUniqueName="[Tabela1].[lead_qualificado].[All]" dimensionUniqueName="[Tabela1]" displayFolder="" count="0" memberValueDatatype="130" unbalanced="0"/>
    <cacheHierarchy uniqueName="[Tabela1].[canal_tipo]" caption="canal_tipo" attribute="1" defaultMemberUniqueName="[Tabela1].[canal_tipo].[All]" allUniqueName="[Tabela1].[canal_tipo].[All]" dimensionUniqueName="[Tabela1]" displayFolder="" count="0" memberValueDatatype="130" unbalanced="0"/>
    <cacheHierarchy uniqueName="[Tabela1].[nivel_engajamento]" caption="nivel_engajamento" attribute="1" defaultMemberUniqueName="[Tabela1].[nivel_engajamento].[All]" allUniqueName="[Tabela1].[nivel_engajamento].[All]" dimensionUniqueName="[Tabela1]" displayFolder="" count="0" memberValueDatatype="130" unbalanced="0"/>
    <cacheHierarchy uniqueName="[Tabela1].[ticket_categoria]" caption="ticket_categoria" attribute="1" defaultMemberUniqueName="[Tabela1].[ticket_categoria].[All]" allUniqueName="[Tabela1].[ticket_categoria].[All]" dimensionUniqueName="[Tabela1]" displayFolder="" count="0" memberValueDatatype="130" unbalanced="0"/>
    <cacheHierarchy uniqueName="[Tabela1].[faixa_etaria]" caption="faixa_etaria" attribute="1" defaultMemberUniqueName="[Tabela1].[faixa_etaria].[All]" allUniqueName="[Tabela1].[faixa_etaria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outlier_investimento]" caption="outlier_investimento" attribute="1" defaultMemberUniqueName="[Tabela1].[outlier_investimento].[All]" allUniqueName="[Tabela1].[outlier_investimento].[All]" dimensionUniqueName="[Tabela1]" displayFolder="" count="0" memberValueDatatype="130" unbalanced="0"/>
    <cacheHierarchy uniqueName="[Tabela1].[outlier_visitantes]" caption="outlier_visitantes" attribute="1" defaultMemberUniqueName="[Tabela1].[outlier_visitantes].[All]" allUniqueName="[Tabela1].[outlier_visitantes].[All]" dimensionUniqueName="[Tabela1]" displayFolder="" count="0" memberValueDatatype="130" unbalanced="0"/>
    <cacheHierarchy uniqueName="[Tabela1].[outlier_leads_gerados]" caption="outlier_leads_gerados" attribute="1" defaultMemberUniqueName="[Tabela1].[outlier_leads_gerados].[All]" allUniqueName="[Tabela1].[outlier_leads_gerados].[All]" dimensionUniqueName="[Tabela1]" displayFolder="" count="0" memberValueDatatype="130" unbalanced="0"/>
    <cacheHierarchy uniqueName="[Tabela1].[outlier_ltv]" caption="outlier_ltv" attribute="1" defaultMemberUniqueName="[Tabela1].[outlier_ltv].[All]" allUniqueName="[Tabela1].[outlier_ltv].[All]" dimensionUniqueName="[Tabela1]" displayFolder="" count="0" memberValueDatatype="130" unbalanced="0"/>
    <cacheHierarchy uniqueName="[Measures].[__XL_Count Tabela1]" caption="__XL_Count Tabela1" measure="1" displayFolder="" measureGroup="Tabela1" count="0" hidden="1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ltv_estimado]" caption="Soma de ltv_estimado" measure="1" displayFolder="" measureGroup="Tabe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CAC]" caption="Soma de CAC" measure="1" displayFolder="" measureGroup="Tabela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ntagem de CAC]" caption="Contagem de CAC" measure="1" displayFolder="" measureGroup="Tabe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ticket_medio]" caption="Soma de ticket_medio" measure="1" displayFolder="" measureGroup="Tabe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id_lead]" caption="Contagem de id_lead" measure="1" displayFolder="" measureGroup="Tabe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name="Intervalo" uniqueName="[Intervalo]" caption="Intervalo"/>
    <dimension measure="1" name="Measures" uniqueName="[Measures]" caption="Measures"/>
    <dimension name="Tabela1" uniqueName="[Tabela1]" caption="Tabela1"/>
  </dimensions>
  <measureGroups count="2">
    <measureGroup name="Intervalo" caption="Intervalo"/>
    <measureGroup name="Tabela1" caption="Tabela1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41.554045023149" backgroundQuery="1" createdVersion="8" refreshedVersion="8" minRefreshableVersion="3" recordCount="0" supportSubquery="1" supportAdvancedDrill="1" xr:uid="{C17D4551-6B7E-471C-BD4E-C4ACA9335789}">
  <cacheSource type="external" connectionId="1"/>
  <cacheFields count="3">
    <cacheField name="[Tabela1].[faixa_etaria].[faixa_etaria]" caption="faixa_etaria" numFmtId="0" hierarchy="25" level="1">
      <sharedItems count="3">
        <s v="Adulto"/>
        <s v="Jovem"/>
        <s v="Sênior"/>
      </sharedItems>
    </cacheField>
    <cacheField name="[Measures].[Soma de ltv_estimado]" caption="Soma de ltv_estimado" numFmtId="0" hierarchy="32" level="32767"/>
    <cacheField name="[Tabela1].[status_cliente].[status_cliente]" caption="status_cliente" numFmtId="0" hierarchy="17" level="1">
      <sharedItems count="3">
        <s v="Ativo"/>
        <s v="Churn"/>
        <s v="Inativo"/>
      </sharedItems>
    </cacheField>
  </cacheFields>
  <cacheHierarchies count="37">
    <cacheHierarchy uniqueName="[Tabela1].[id_lead]" caption="id_lead" attribute="1" defaultMemberUniqueName="[Tabela1].[id_lead].[All]" allUniqueName="[Tabela1].[id_lead].[All]" dimensionUniqueName="[Tabela1]" displayFolder="" count="0" memberValueDatatype="130" unbalanced="0"/>
    <cacheHierarchy uniqueName="[Tabela1].[data_interacao]" caption="data_interacao" attribute="1" time="1" defaultMemberUniqueName="[Tabela1].[data_interacao].[All]" allUniqueName="[Tabela1].[data_interacao].[All]" dimensionUniqueName="[Tabela1]" displayFolder="" count="0" memberValueDatatype="7" unbalanced="0"/>
    <cacheHierarchy uniqueName="[Tabela1].[canal_aquisicao]" caption="canal_aquisicao" attribute="1" defaultMemberUniqueName="[Tabela1].[canal_aquisicao].[All]" allUniqueName="[Tabela1].[canal_aquisicao].[All]" dimensionUniqueName="[Tabela1]" displayFolder="" count="0" memberValueDatatype="130" unbalanced="0"/>
    <cacheHierarchy uniqueName="[Tabela1].[campanha]" caption="campanha" attribute="1" defaultMemberUniqueName="[Tabela1].[campanha].[All]" allUniqueName="[Tabela1].[campanha].[All]" dimensionUniqueName="[Tabela1]" displayFolder="" count="0" memberValueDatatype="130" unbalanced="0"/>
    <cacheHierarchy uniqueName="[Tabela1].[objetivo_campanha]" caption="objetivo_campanha" attribute="1" defaultMemberUniqueName="[Tabela1].[objetivo_campanha].[All]" allUniqueName="[Tabela1].[objetivo_campanha].[All]" dimensionUniqueName="[Tabela1]" displayFolder="" count="0" memberValueDatatype="130" unbalanced="0"/>
    <cacheHierarchy uniqueName="[Tabela1].[investimento]" caption="investimento" attribute="1" defaultMemberUniqueName="[Tabela1].[investimento].[All]" allUniqueName="[Tabela1].[investimento].[All]" dimensionUniqueName="[Tabela1]" displayFolder="" count="0" memberValueDatatype="20" unbalanced="0"/>
    <cacheHierarchy uniqueName="[Tabela1].[visitantes]" caption="visitantes" attribute="1" defaultMemberUniqueName="[Tabela1].[visitantes].[All]" allUniqueName="[Tabela1].[visitantes].[All]" dimensionUniqueName="[Tabela1]" displayFolder="" count="0" memberValueDatatype="20" unbalanced="0"/>
    <cacheHierarchy uniqueName="[Tabela1].[leads_gerados]" caption="leads_gerados" attribute="1" defaultMemberUniqueName="[Tabela1].[leads_gerados].[All]" allUniqueName="[Tabela1].[leads_gerados].[All]" dimensionUniqueName="[Tabela1]" displayFolder="" count="0" memberValueDatatype="20" unbalanced="0"/>
    <cacheHierarchy uniqueName="[Tabela1].[etapa_funil]" caption="etapa_funil" attribute="1" defaultMemberUniqueName="[Tabela1].[etapa_funil].[All]" allUniqueName="[Tabela1].[etapa_funil].[All]" dimensionUniqueName="[Tabela1]" displayFolder="" count="0" memberValueDatatype="130" unbalanced="0"/>
    <cacheHierarchy uniqueName="[Tabela1].[tempo_etapa_dias]" caption="tempo_etapa_dias" attribute="1" defaultMemberUniqueName="[Tabela1].[tempo_etapa_dias].[All]" allUniqueName="[Tabela1].[tempo_etapa_dias].[All]" dimensionUniqueName="[Tabela1]" displayFolder="" count="0" memberValueDatatype="20" unbalanced="0"/>
    <cacheHierarchy uniqueName="[Tabela1].[converteu_cliente]" caption="converteu_cliente" attribute="1" defaultMemberUniqueName="[Tabela1].[converteu_cliente].[All]" allUniqueName="[Tabela1].[converteu_cliente].[All]" dimensionUniqueName="[Tabela1]" displayFolder="" count="0" memberValueDatatype="130" unbalanced="0"/>
    <cacheHierarchy uniqueName="[Tabela1].[valor_venda]" caption="valor_venda" attribute="1" defaultMemberUniqueName="[Tabela1].[valor_venda].[All]" allUniqueName="[Tabela1].[valor_venda].[All]" dimensionUniqueName="[Tabela1]" displayFolder="" count="0" memberValueDatatype="20" unbalanced="0"/>
    <cacheHierarchy uniqueName="[Tabela1].[ticket_medio]" caption="ticket_medio" attribute="1" defaultMemberUniqueName="[Tabela1].[ticket_medio].[All]" allUniqueName="[Tabela1].[ticket_medio].[All]" dimensionUniqueName="[Tabela1]" displayFolder="" count="0" memberValueDatatype="5" unbalanced="0"/>
    <cacheHierarchy uniqueName="[Tabela1].[idade]" caption="idade" attribute="1" defaultMemberUniqueName="[Tabela1].[idade].[All]" allUniqueName="[Tabela1].[idade].[All]" dimensionUniqueName="[Tabela1]" displayFolder="" count="0" memberValueDatatype="20" unbalanced="0"/>
    <cacheHierarchy uniqueName="[Tabela1].[genero]" caption="genero" attribute="1" defaultMemberUniqueName="[Tabela1].[genero].[All]" allUniqueName="[Tabela1].[genero].[All]" dimensionUniqueName="[Tabela1]" displayFolder="" count="2" memberValueDatatype="130" unbalanced="0"/>
    <cacheHierarchy uniqueName="[Tabela1].[cidade]" caption="cidade" attribute="1" defaultMemberUniqueName="[Tabela1].[cidade].[All]" allUniqueName="[Tabela1].[cidade].[All]" dimensionUniqueName="[Tabela1]" displayFolder="" count="0" memberValueDatatype="130" unbalanced="0"/>
    <cacheHierarchy uniqueName="[Tabela1].[engajamento_score]" caption="engajamento_score" attribute="1" defaultMemberUniqueName="[Tabela1].[engajamento_score].[All]" allUniqueName="[Tabela1].[engajamento_score].[All]" dimensionUniqueName="[Tabela1]" displayFolder="" count="0" memberValueDatatype="20" unbalanced="0"/>
    <cacheHierarchy uniqueName="[Tabela1].[status_cliente]" caption="status_cliente" attribute="1" defaultMemberUniqueName="[Tabela1].[status_cliente].[All]" allUniqueName="[Tabela1].[status_cliente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ltv_estimado]" caption="ltv_estimado" attribute="1" defaultMemberUniqueName="[Tabela1].[ltv_estimado].[All]" allUniqueName="[Tabela1].[ltv_estimado].[All]" dimensionUniqueName="[Tabela1]" displayFolder="" count="0" memberValueDatatype="20" unbalanced="0"/>
    <cacheHierarchy uniqueName="[Tabela1].[CPL]" caption="CPL" attribute="1" defaultMemberUniqueName="[Tabela1].[CPL].[All]" allUniqueName="[Tabela1].[CPL].[All]" dimensionUniqueName="[Tabela1]" displayFolder="" count="0" memberValueDatatype="5" unbalanced="0"/>
    <cacheHierarchy uniqueName="[Tabela1].[CAC]" caption="CAC" attribute="1" defaultMemberUniqueName="[Tabela1].[CAC].[All]" allUniqueName="[Tabela1].[CAC].[All]" dimensionUniqueName="[Tabela1]" displayFolder="" count="0" memberValueDatatype="5" unbalanced="0"/>
    <cacheHierarchy uniqueName="[Tabela1].[lead_qualificado]" caption="lead_qualificado" attribute="1" defaultMemberUniqueName="[Tabela1].[lead_qualificado].[All]" allUniqueName="[Tabela1].[lead_qualificado].[All]" dimensionUniqueName="[Tabela1]" displayFolder="" count="0" memberValueDatatype="130" unbalanced="0"/>
    <cacheHierarchy uniqueName="[Tabela1].[canal_tipo]" caption="canal_tipo" attribute="1" defaultMemberUniqueName="[Tabela1].[canal_tipo].[All]" allUniqueName="[Tabela1].[canal_tipo].[All]" dimensionUniqueName="[Tabela1]" displayFolder="" count="0" memberValueDatatype="130" unbalanced="0"/>
    <cacheHierarchy uniqueName="[Tabela1].[nivel_engajamento]" caption="nivel_engajamento" attribute="1" defaultMemberUniqueName="[Tabela1].[nivel_engajamento].[All]" allUniqueName="[Tabela1].[nivel_engajamento].[All]" dimensionUniqueName="[Tabela1]" displayFolder="" count="0" memberValueDatatype="130" unbalanced="0"/>
    <cacheHierarchy uniqueName="[Tabela1].[ticket_categoria]" caption="ticket_categoria" attribute="1" defaultMemberUniqueName="[Tabela1].[ticket_categoria].[All]" allUniqueName="[Tabela1].[ticket_categoria].[All]" dimensionUniqueName="[Tabela1]" displayFolder="" count="0" memberValueDatatype="130" unbalanced="0"/>
    <cacheHierarchy uniqueName="[Tabela1].[faixa_etaria]" caption="faixa_etaria" attribute="1" defaultMemberUniqueName="[Tabela1].[faixa_etaria].[All]" allUniqueName="[Tabela1].[faixa_etaria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outlier_investimento]" caption="outlier_investimento" attribute="1" defaultMemberUniqueName="[Tabela1].[outlier_investimento].[All]" allUniqueName="[Tabela1].[outlier_investimento].[All]" dimensionUniqueName="[Tabela1]" displayFolder="" count="0" memberValueDatatype="130" unbalanced="0"/>
    <cacheHierarchy uniqueName="[Tabela1].[outlier_visitantes]" caption="outlier_visitantes" attribute="1" defaultMemberUniqueName="[Tabela1].[outlier_visitantes].[All]" allUniqueName="[Tabela1].[outlier_visitantes].[All]" dimensionUniqueName="[Tabela1]" displayFolder="" count="0" memberValueDatatype="130" unbalanced="0"/>
    <cacheHierarchy uniqueName="[Tabela1].[outlier_leads_gerados]" caption="outlier_leads_gerados" attribute="1" defaultMemberUniqueName="[Tabela1].[outlier_leads_gerados].[All]" allUniqueName="[Tabela1].[outlier_leads_gerados].[All]" dimensionUniqueName="[Tabela1]" displayFolder="" count="0" memberValueDatatype="130" unbalanced="0"/>
    <cacheHierarchy uniqueName="[Tabela1].[outlier_ltv]" caption="outlier_ltv" attribute="1" defaultMemberUniqueName="[Tabela1].[outlier_ltv].[All]" allUniqueName="[Tabela1].[outlier_ltv].[All]" dimensionUniqueName="[Tabela1]" displayFolder="" count="0" memberValueDatatype="130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ltv_estimado]" caption="Soma de ltv_estimado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CAC]" caption="Soma de CAC" measure="1" displayFolder="" measureGroup="Tabe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ntagem de CAC]" caption="Contagem de CAC" measure="1" displayFolder="" measureGroup="Tabe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ticket_medio]" caption="Soma de ticket_medio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id_lead]" caption="Contagem de id_lead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LEAD_15"/>
    <d v="2024-11-06T00:00:00"/>
    <x v="0"/>
    <s v="Wellness_Jan"/>
    <s v="Awareness"/>
    <n v="16128"/>
    <n v="3566"/>
    <n v="154"/>
    <s v="Lead"/>
    <n v="20"/>
    <x v="0"/>
    <n v="0"/>
    <n v="0"/>
    <n v="22"/>
    <s v="M"/>
    <s v="Belo Horizonte"/>
    <n v="27"/>
    <s v="Churn"/>
    <n v="2885"/>
    <n v="104.72727272727273"/>
    <x v="0"/>
  </r>
  <r>
    <s v="LEAD_77"/>
    <d v="2025-01-17T00:00:00"/>
    <x v="1"/>
    <s v="Wellness_Jan"/>
    <s v="Awareness"/>
    <n v="7629"/>
    <n v="1682"/>
    <n v="230"/>
    <s v="SQL"/>
    <n v="32"/>
    <x v="0"/>
    <n v="0"/>
    <n v="0"/>
    <n v="64"/>
    <s v="F"/>
    <s v="recife"/>
    <n v="60"/>
    <s v="Ativo"/>
    <n v="1514"/>
    <n v="33.169565217391302"/>
    <x v="0"/>
  </r>
  <r>
    <s v="LEAD_86"/>
    <d v="2024-04-19T00:00:00"/>
    <x v="0"/>
    <s v="Wellness_Jan"/>
    <s v="Conversão"/>
    <n v="17408"/>
    <n v="1173"/>
    <n v="293"/>
    <s v="Lead"/>
    <n v="2"/>
    <x v="0"/>
    <n v="0"/>
    <n v="0"/>
    <n v="45"/>
    <s v="M"/>
    <s v="recife"/>
    <n v="85"/>
    <s v="Ativo"/>
    <n v="2558"/>
    <n v="59.412969283276453"/>
    <x v="0"/>
  </r>
  <r>
    <s v="LEAD_78"/>
    <d v="2024-05-24T00:00:00"/>
    <x v="0"/>
    <s v="Wellness_Jan"/>
    <s v="Tráfego"/>
    <n v="5797"/>
    <n v="4974"/>
    <n v="121"/>
    <s v="Lead"/>
    <n v="29"/>
    <x v="1"/>
    <n v="716"/>
    <n v="716"/>
    <n v="65"/>
    <s v="M"/>
    <s v="recife"/>
    <n v="58"/>
    <s v="Ativo"/>
    <n v="2661"/>
    <n v="47.909090909090907"/>
    <x v="0"/>
  </r>
  <r>
    <s v="LEAD_136"/>
    <d v="2024-09-12T00:00:00"/>
    <x v="2"/>
    <s v="Wellness_Jan"/>
    <s v="Awareness"/>
    <n v="2859"/>
    <n v="2303"/>
    <n v="144"/>
    <s v="Oportunidade"/>
    <n v="15"/>
    <x v="1"/>
    <n v="556"/>
    <n v="556"/>
    <n v="59"/>
    <s v="M"/>
    <s v="São Paulo"/>
    <n v="82"/>
    <s v="Inativo"/>
    <n v="1362"/>
    <n v="19.854166666666668"/>
    <x v="0"/>
  </r>
  <r>
    <s v="LEAD_72"/>
    <d v="2025-06-19T00:00:00"/>
    <x v="1"/>
    <s v="Wellness_Jan"/>
    <s v="Tráfego"/>
    <n v="6846"/>
    <n v="2876"/>
    <n v="108"/>
    <s v="Cliente"/>
    <n v="3"/>
    <x v="1"/>
    <n v="209"/>
    <n v="209"/>
    <n v="22"/>
    <s v="F"/>
    <s v="recife"/>
    <n v="68"/>
    <s v="Ativo"/>
    <n v="1118"/>
    <n v="63.388888888888886"/>
    <x v="0"/>
  </r>
  <r>
    <s v="LEAD_12"/>
    <d v="2024-04-29T00:00:00"/>
    <x v="1"/>
    <s v="Wellness_Jan"/>
    <s v="Tráfego"/>
    <n v="10815"/>
    <n v="4031"/>
    <n v="3"/>
    <s v="MQL"/>
    <n v="11"/>
    <x v="0"/>
    <n v="0"/>
    <n v="0"/>
    <n v="42"/>
    <s v="F"/>
    <s v="Belo Horizonte"/>
    <n v="87"/>
    <s v="Inativo"/>
    <n v="5865"/>
    <n v="3605"/>
    <x v="0"/>
  </r>
  <r>
    <s v="LEAD_158"/>
    <d v="2025-05-15T00:00:00"/>
    <x v="3"/>
    <s v="Wellness_Jan"/>
    <s v="Lead"/>
    <n v="10804"/>
    <n v="4984"/>
    <n v="17"/>
    <s v="SQL"/>
    <n v="17"/>
    <x v="0"/>
    <n v="0"/>
    <n v="0"/>
    <n v="38"/>
    <s v="F"/>
    <s v="recife"/>
    <n v="20"/>
    <s v="Churn"/>
    <n v="4764"/>
    <n v="635.52941176470586"/>
    <x v="0"/>
  </r>
  <r>
    <s v="LEAD_53"/>
    <d v="2024-12-23T00:00:00"/>
    <x v="3"/>
    <s v="Wellness_Jan"/>
    <s v="Tráfego"/>
    <n v="9173"/>
    <n v="1862"/>
    <n v="237"/>
    <s v="Lead"/>
    <n v="2"/>
    <x v="0"/>
    <n v="0"/>
    <n v="0"/>
    <n v="40"/>
    <s v="M"/>
    <s v="recife"/>
    <n v="81"/>
    <s v="Ativo"/>
    <n v="5787"/>
    <n v="38.70464135021097"/>
    <x v="0"/>
  </r>
  <r>
    <s v="LEAD_112"/>
    <d v="2024-05-24T00:00:00"/>
    <x v="3"/>
    <s v="Wellness_Jan"/>
    <s v="Tráfego"/>
    <n v="774"/>
    <n v="2351"/>
    <n v="275"/>
    <s v="Lead"/>
    <n v="2"/>
    <x v="0"/>
    <n v="0"/>
    <n v="0"/>
    <n v="40"/>
    <s v="M"/>
    <s v="Belo Horizonte"/>
    <n v="94"/>
    <s v="Churn"/>
    <n v="1915"/>
    <n v="2.8145454545454545"/>
    <x v="0"/>
  </r>
  <r>
    <s v="LEAD_99"/>
    <d v="2024-11-25T00:00:00"/>
    <x v="0"/>
    <s v="Wellness_Jan"/>
    <s v="Awareness"/>
    <n v="19060"/>
    <n v="2666"/>
    <n v="211"/>
    <s v="Lead"/>
    <n v="26"/>
    <x v="1"/>
    <n v="145"/>
    <n v="72.5"/>
    <n v="38"/>
    <s v="F"/>
    <s v="Belo Horizonte"/>
    <n v="12"/>
    <s v="Churn"/>
    <n v="392"/>
    <n v="90.33175355450237"/>
    <x v="0"/>
  </r>
  <r>
    <s v="LEAD_118"/>
    <d v="2024-06-29T00:00:00"/>
    <x v="4"/>
    <s v="Wellness_Jan"/>
    <s v="Lead"/>
    <n v="6876"/>
    <n v="4019"/>
    <n v="69"/>
    <s v="Lead"/>
    <n v="18"/>
    <x v="1"/>
    <n v="285"/>
    <n v="142.5"/>
    <n v="38"/>
    <s v="F"/>
    <s v="recife"/>
    <n v="54"/>
    <s v="Churn"/>
    <n v="4097"/>
    <n v="99.652173913043484"/>
    <x v="0"/>
  </r>
  <r>
    <s v="LEAD_63"/>
    <d v="2024-10-08T00:00:00"/>
    <x v="1"/>
    <s v="Wellness_Jan"/>
    <s v="Tráfego"/>
    <n v="11528"/>
    <n v="3448"/>
    <n v="261"/>
    <s v="SQL"/>
    <n v="33"/>
    <x v="0"/>
    <n v="0"/>
    <n v="0"/>
    <n v="40"/>
    <s v="M"/>
    <s v="Belo Horizonte"/>
    <n v="60"/>
    <s v="Inativo"/>
    <n v="2282"/>
    <n v="44.168582375478927"/>
    <x v="0"/>
  </r>
  <r>
    <s v="LEAD_5"/>
    <d v="2024-10-23T00:00:00"/>
    <x v="0"/>
    <s v="Wellness_Jan"/>
    <s v="Lead"/>
    <n v="9926"/>
    <n v="2117"/>
    <n v="185"/>
    <s v="MQL"/>
    <n v="5"/>
    <x v="0"/>
    <n v="0"/>
    <n v="0"/>
    <n v="64"/>
    <s v="M"/>
    <s v="Salvador"/>
    <n v="1"/>
    <s v="Inativo"/>
    <n v="2882"/>
    <n v="53.654054054054058"/>
    <x v="0"/>
  </r>
  <r>
    <s v="LEAD_17"/>
    <d v="2024-06-14T00:00:00"/>
    <x v="0"/>
    <s v="Wellness_Jan"/>
    <s v="Conversão"/>
    <n v="5612"/>
    <n v="999"/>
    <n v="197"/>
    <s v="Oportunidade"/>
    <n v="12"/>
    <x v="1"/>
    <n v="655"/>
    <n v="218.33"/>
    <n v="40"/>
    <s v="M"/>
    <s v="São Paulo"/>
    <n v="46"/>
    <s v="Inativo"/>
    <n v="4798"/>
    <n v="28.487309644670052"/>
    <x v="0"/>
  </r>
  <r>
    <s v="LEAD_23"/>
    <d v="2024-11-05T00:00:00"/>
    <x v="4"/>
    <s v="Wellness_Jan"/>
    <s v="Conversão"/>
    <n v="690"/>
    <n v="4189"/>
    <n v="264"/>
    <s v="Cliente"/>
    <n v="24"/>
    <x v="0"/>
    <n v="0"/>
    <n v="0"/>
    <n v="40"/>
    <s v="M"/>
    <s v="recife"/>
    <n v="4"/>
    <s v="Inativo"/>
    <n v="1161"/>
    <n v="2.6136363636363638"/>
    <x v="0"/>
  </r>
  <r>
    <s v="LEAD_92"/>
    <d v="2024-04-15T00:00:00"/>
    <x v="3"/>
    <s v="Wellness_Jan"/>
    <s v="Awareness"/>
    <n v="12292"/>
    <n v="1281"/>
    <n v="175"/>
    <s v="Cliente"/>
    <n v="30"/>
    <x v="0"/>
    <n v="0"/>
    <n v="0"/>
    <n v="38"/>
    <s v="F"/>
    <s v="Salvador"/>
    <n v="36"/>
    <s v="Inativo"/>
    <n v="4812"/>
    <n v="70.239999999999995"/>
    <x v="0"/>
  </r>
  <r>
    <s v="LEAD_140"/>
    <d v="2024-03-09T00:00:00"/>
    <x v="1"/>
    <s v="Wellness_Jan"/>
    <s v="Awareness"/>
    <n v="2222"/>
    <n v="687"/>
    <n v="223"/>
    <s v="Lead"/>
    <n v="19"/>
    <x v="0"/>
    <n v="0"/>
    <n v="0"/>
    <n v="19"/>
    <s v="M"/>
    <s v="Belo Horizonte"/>
    <n v="61"/>
    <s v="Churn"/>
    <n v="5240"/>
    <n v="9.9641255605381165"/>
    <x v="0"/>
  </r>
  <r>
    <s v="LEAD_1"/>
    <d v="2024-05-21T00:00:00"/>
    <x v="0"/>
    <s v="Wellness_Jan"/>
    <s v="Lead"/>
    <n v="18204"/>
    <n v="2216"/>
    <n v="249"/>
    <s v="Cliente"/>
    <n v="4"/>
    <x v="1"/>
    <n v="377"/>
    <n v="188.5"/>
    <n v="40"/>
    <s v="M"/>
    <s v="São Paulo"/>
    <n v="71"/>
    <s v="Inativo"/>
    <n v="1150"/>
    <n v="73.108433734939766"/>
    <x v="0"/>
  </r>
  <r>
    <s v="LEAD_104"/>
    <d v="2025-01-14T00:00:00"/>
    <x v="1"/>
    <s v="Wellness_Jan"/>
    <s v="Tráfego"/>
    <n v="1054"/>
    <n v="487"/>
    <n v="86"/>
    <s v="Cliente"/>
    <n v="33"/>
    <x v="1"/>
    <n v="381"/>
    <n v="127"/>
    <n v="38"/>
    <s v="F"/>
    <s v="recife"/>
    <n v="44"/>
    <s v="Ativo"/>
    <n v="419"/>
    <n v="12.255813953488373"/>
    <x v="0"/>
  </r>
  <r>
    <s v="LEAD_119"/>
    <d v="2024-11-28T00:00:00"/>
    <x v="0"/>
    <s v="Wellness_Jan"/>
    <s v="Awareness"/>
    <n v="14532"/>
    <n v="2067"/>
    <n v="284"/>
    <s v="SQL"/>
    <n v="8"/>
    <x v="1"/>
    <n v="188"/>
    <n v="62.67"/>
    <n v="38"/>
    <s v="F"/>
    <s v="recife"/>
    <n v="89"/>
    <s v="Inativo"/>
    <n v="5649"/>
    <n v="51.16901408450704"/>
    <x v="0"/>
  </r>
  <r>
    <s v="LEAD_10"/>
    <d v="2025-01-14T00:00:00"/>
    <x v="0"/>
    <s v="Wellness_Jan"/>
    <s v="Tráfego"/>
    <n v="11263"/>
    <n v="1036"/>
    <n v="63"/>
    <s v="Lead"/>
    <n v="7"/>
    <x v="0"/>
    <n v="0"/>
    <n v="0"/>
    <n v="40"/>
    <s v="M"/>
    <s v="recife"/>
    <n v="63"/>
    <s v="Ativo"/>
    <n v="4771"/>
    <n v="178.77777777777777"/>
    <x v="0"/>
  </r>
  <r>
    <s v="LEAD_39"/>
    <d v="2025-03-09T00:00:00"/>
    <x v="4"/>
    <s v="Wellness_Jan"/>
    <s v="Conversão"/>
    <n v="14999"/>
    <n v="4860"/>
    <n v="184"/>
    <s v="Cliente"/>
    <n v="28"/>
    <x v="1"/>
    <n v="765"/>
    <n v="255"/>
    <n v="40"/>
    <s v="M"/>
    <s v="recife"/>
    <n v="93"/>
    <s v="Ativo"/>
    <n v="2100"/>
    <n v="81.516304347826093"/>
    <x v="0"/>
  </r>
  <r>
    <s v="LEAD_62"/>
    <d v="2024-09-20T00:00:00"/>
    <x v="2"/>
    <s v="Wellness_Jan"/>
    <s v="Awareness"/>
    <n v="15274"/>
    <n v="2197"/>
    <n v="173"/>
    <s v="Oportunidade"/>
    <n v="16"/>
    <x v="0"/>
    <n v="0"/>
    <n v="0"/>
    <n v="26"/>
    <s v="F"/>
    <s v="recife"/>
    <n v="6"/>
    <s v="Churn"/>
    <n v="2148"/>
    <n v="88.289017341040463"/>
    <x v="0"/>
  </r>
  <r>
    <s v="LEAD_85"/>
    <d v="2024-04-30T00:00:00"/>
    <x v="3"/>
    <s v="Wellness_Jan"/>
    <s v="Tráfego"/>
    <n v="13866"/>
    <n v="3186"/>
    <n v="300"/>
    <s v="Lead"/>
    <n v="14"/>
    <x v="0"/>
    <n v="0"/>
    <n v="0"/>
    <n v="38"/>
    <s v="F"/>
    <s v="recife"/>
    <n v="58"/>
    <s v="Churn"/>
    <n v="2908"/>
    <n v="46.22"/>
    <x v="0"/>
  </r>
  <r>
    <s v="LEAD_32"/>
    <d v="2024-04-06T00:00:00"/>
    <x v="2"/>
    <s v="Wellness_Jan"/>
    <s v="Tráfego"/>
    <n v="14240"/>
    <n v="3857"/>
    <n v="167"/>
    <s v="Lead"/>
    <n v="26"/>
    <x v="0"/>
    <n v="0"/>
    <n v="0"/>
    <n v="40"/>
    <s v="M"/>
    <s v="Salvador"/>
    <n v="32"/>
    <s v="Churn"/>
    <n v="320"/>
    <n v="85.269461077844312"/>
    <x v="0"/>
  </r>
  <r>
    <s v="LEAD_131"/>
    <d v="2025-03-02T00:00:00"/>
    <x v="1"/>
    <s v="Wellness_Jan"/>
    <s v="Conversão"/>
    <n v="906"/>
    <n v="634"/>
    <n v="227"/>
    <s v="SQL"/>
    <n v="8"/>
    <x v="0"/>
    <n v="0"/>
    <n v="0"/>
    <n v="32"/>
    <s v="F"/>
    <s v="recife"/>
    <n v="40"/>
    <s v="Churn"/>
    <n v="5181"/>
    <n v="3.9911894273127753"/>
    <x v="0"/>
  </r>
  <r>
    <s v="LEAD_146"/>
    <d v="2024-12-09T00:00:00"/>
    <x v="1"/>
    <s v="Wellness_Jan"/>
    <s v="Tráfego"/>
    <n v="4652"/>
    <n v="114"/>
    <n v="172"/>
    <s v="Visitante"/>
    <n v="38"/>
    <x v="0"/>
    <n v="0"/>
    <n v="0"/>
    <n v="38"/>
    <s v="F"/>
    <s v="Salvador"/>
    <n v="7"/>
    <s v="Churn"/>
    <n v="2076"/>
    <n v="27.046511627906977"/>
    <x v="0"/>
  </r>
  <r>
    <s v="LEAD_12"/>
    <d v="2024-07-09T00:00:00"/>
    <x v="2"/>
    <s v="Wellness_Jan"/>
    <s v="Lead"/>
    <n v="7238"/>
    <n v="2480"/>
    <n v="154"/>
    <s v="Visitante"/>
    <n v="8"/>
    <x v="0"/>
    <n v="0"/>
    <n v="0"/>
    <n v="29"/>
    <s v="F"/>
    <s v="recife"/>
    <n v="25"/>
    <s v="Churn"/>
    <n v="2435"/>
    <n v="47"/>
    <x v="0"/>
  </r>
  <r>
    <s v="LEAD_39"/>
    <d v="2024-04-12T00:00:00"/>
    <x v="2"/>
    <s v="Wellness_Jan"/>
    <s v="Awareness"/>
    <n v="4194"/>
    <n v="4708"/>
    <n v="194"/>
    <s v="Cliente"/>
    <n v="37"/>
    <x v="1"/>
    <n v="280"/>
    <n v="280"/>
    <n v="35"/>
    <s v="F"/>
    <s v="Belo Horizonte"/>
    <n v="91"/>
    <s v="Churn"/>
    <n v="4040"/>
    <n v="21.618556701030929"/>
    <x v="0"/>
  </r>
  <r>
    <s v="LEAD_94"/>
    <d v="2024-10-24T00:00:00"/>
    <x v="2"/>
    <s v="Wellness_Jan"/>
    <s v="Awareness"/>
    <n v="16475"/>
    <n v="850"/>
    <n v="161"/>
    <s v="Cliente"/>
    <n v="32"/>
    <x v="1"/>
    <n v="394"/>
    <n v="197"/>
    <n v="44"/>
    <s v="M"/>
    <s v="Salvador"/>
    <n v="10"/>
    <s v="Churn"/>
    <n v="3598"/>
    <n v="102.32919254658385"/>
    <x v="0"/>
  </r>
  <r>
    <s v="LEAD_37"/>
    <d v="2025-06-15T00:00:00"/>
    <x v="4"/>
    <s v="Wellness_Jan"/>
    <s v="Awareness"/>
    <n v="13790"/>
    <n v="1673"/>
    <n v="204"/>
    <s v="Lead"/>
    <n v="20"/>
    <x v="1"/>
    <n v="200"/>
    <n v="66.67"/>
    <n v="38"/>
    <s v="F"/>
    <s v="Belo Horizonte"/>
    <n v="67"/>
    <s v="Inativo"/>
    <n v="4259"/>
    <n v="67.598039215686271"/>
    <x v="0"/>
  </r>
  <r>
    <s v="LEAD_126"/>
    <d v="2024-11-02T00:00:00"/>
    <x v="4"/>
    <s v="Wellness_Jan"/>
    <s v="Awareness"/>
    <n v="18597"/>
    <n v="2044"/>
    <n v="125"/>
    <s v="Cliente"/>
    <n v="9"/>
    <x v="0"/>
    <n v="0"/>
    <n v="0"/>
    <n v="24"/>
    <s v="F"/>
    <s v="Belo Horizonte"/>
    <n v="52"/>
    <s v="Churn"/>
    <n v="5038"/>
    <n v="148.77600000000001"/>
    <x v="0"/>
  </r>
  <r>
    <s v="LEAD_89"/>
    <d v="2024-04-16T00:00:00"/>
    <x v="4"/>
    <s v="Wellness_Jan"/>
    <s v="Tráfego"/>
    <n v="6596"/>
    <n v="1992"/>
    <n v="16"/>
    <s v="SQL"/>
    <n v="2"/>
    <x v="1"/>
    <n v="898"/>
    <n v="898"/>
    <n v="40"/>
    <s v="M"/>
    <s v="São Paulo"/>
    <n v="27"/>
    <s v="Inativo"/>
    <n v="2480"/>
    <n v="412.25"/>
    <x v="0"/>
  </r>
  <r>
    <s v="LEAD_61"/>
    <d v="2025-03-16T00:00:00"/>
    <x v="2"/>
    <s v="Wellness_Jan"/>
    <s v="Lead"/>
    <n v="1510"/>
    <n v="3689"/>
    <n v="220"/>
    <s v="Cliente"/>
    <n v="20"/>
    <x v="1"/>
    <n v="397"/>
    <n v="397"/>
    <n v="38"/>
    <s v="F"/>
    <s v="São Paulo"/>
    <n v="42"/>
    <s v="Ativo"/>
    <n v="4628"/>
    <n v="6.8636363636363633"/>
    <x v="0"/>
  </r>
  <r>
    <s v="LEAD_149"/>
    <d v="2024-03-28T00:00:00"/>
    <x v="4"/>
    <s v="Wellness_Jan"/>
    <s v="Conversão"/>
    <n v="8023"/>
    <n v="3393"/>
    <n v="90"/>
    <s v="Oportunidade"/>
    <n v="24"/>
    <x v="1"/>
    <n v="487"/>
    <n v="487"/>
    <n v="38"/>
    <s v="F"/>
    <s v="São Paulo"/>
    <n v="85"/>
    <s v="Ativo"/>
    <n v="3809"/>
    <n v="89.144444444444446"/>
    <x v="0"/>
  </r>
  <r>
    <s v="LEAD_90"/>
    <d v="2025-06-13T00:00:00"/>
    <x v="0"/>
    <s v="Wellness_Jan"/>
    <s v="Tráfego"/>
    <n v="17015"/>
    <n v="2614"/>
    <n v="144"/>
    <s v="Visitante"/>
    <n v="25"/>
    <x v="1"/>
    <n v="250"/>
    <n v="250"/>
    <n v="49"/>
    <s v="M"/>
    <s v="recife"/>
    <n v="17"/>
    <s v="Churn"/>
    <n v="987"/>
    <n v="118.15972222222223"/>
    <x v="0"/>
  </r>
  <r>
    <s v="LEAD_13"/>
    <d v="2024-06-21T00:00:00"/>
    <x v="0"/>
    <s v="Wellness_Fev"/>
    <s v="Tráfego"/>
    <n v="6019"/>
    <n v="2084"/>
    <n v="242"/>
    <s v="Lead"/>
    <n v="26"/>
    <x v="0"/>
    <n v="0"/>
    <n v="0"/>
    <n v="38"/>
    <s v="F"/>
    <s v="recife"/>
    <n v="35"/>
    <s v="Churn"/>
    <n v="3406"/>
    <n v="24.871900826446282"/>
    <x v="0"/>
  </r>
  <r>
    <s v="LEAD_33"/>
    <d v="2024-05-18T00:00:00"/>
    <x v="1"/>
    <s v="Wellness_Fev"/>
    <s v="Lead"/>
    <n v="13725"/>
    <n v="1757"/>
    <n v="255"/>
    <s v="MQL"/>
    <n v="27"/>
    <x v="1"/>
    <n v="840"/>
    <n v="280"/>
    <n v="40"/>
    <s v="M"/>
    <s v="São Paulo"/>
    <n v="45"/>
    <s v="Churn"/>
    <n v="4527"/>
    <n v="53.823529411764703"/>
    <x v="0"/>
  </r>
  <r>
    <s v="LEAD_76"/>
    <d v="2024-04-26T00:00:00"/>
    <x v="0"/>
    <s v="Wellness_Fev"/>
    <s v="Conversão"/>
    <n v="13392"/>
    <n v="522"/>
    <n v="115"/>
    <s v="MQL"/>
    <n v="9"/>
    <x v="1"/>
    <n v="162"/>
    <n v="162"/>
    <n v="43"/>
    <s v="F"/>
    <s v="Salvador"/>
    <n v="56"/>
    <s v="Churn"/>
    <n v="1186"/>
    <n v="116.45217391304348"/>
    <x v="0"/>
  </r>
  <r>
    <s v="LEAD_60"/>
    <d v="2024-02-04T00:00:00"/>
    <x v="2"/>
    <s v="Wellness_Fev"/>
    <s v="Tráfego"/>
    <n v="9555"/>
    <n v="4714"/>
    <n v="130"/>
    <s v="Oportunidade"/>
    <n v="25"/>
    <x v="1"/>
    <n v="877"/>
    <n v="438.5"/>
    <n v="53"/>
    <s v="F"/>
    <s v="recife"/>
    <n v="7"/>
    <s v="Ativo"/>
    <n v="3183"/>
    <n v="73.5"/>
    <x v="0"/>
  </r>
  <r>
    <s v="LEAD_156"/>
    <d v="2024-10-25T00:00:00"/>
    <x v="1"/>
    <s v="Wellness_Fev"/>
    <s v="Lead"/>
    <n v="16413"/>
    <n v="2423"/>
    <n v="175"/>
    <s v="Oportunidade"/>
    <n v="12"/>
    <x v="1"/>
    <n v="732"/>
    <n v="366"/>
    <n v="39"/>
    <s v="M"/>
    <s v="Belo Horizonte"/>
    <n v="64"/>
    <s v="Ativo"/>
    <n v="895"/>
    <n v="93.78857142857143"/>
    <x v="0"/>
  </r>
  <r>
    <s v="LEAD_33"/>
    <d v="2024-08-20T00:00:00"/>
    <x v="3"/>
    <s v="Wellness_Fev"/>
    <s v="Tráfego"/>
    <n v="6655"/>
    <n v="2549"/>
    <n v="139"/>
    <s v="Visitante"/>
    <n v="23"/>
    <x v="1"/>
    <n v="842"/>
    <n v="842"/>
    <n v="38"/>
    <s v="F"/>
    <s v="recife"/>
    <n v="70"/>
    <s v="Inativo"/>
    <n v="676"/>
    <n v="47.877697841726622"/>
    <x v="0"/>
  </r>
  <r>
    <s v="LEAD_104"/>
    <d v="2025-04-27T00:00:00"/>
    <x v="2"/>
    <s v="Wellness_Fev"/>
    <s v="Awareness"/>
    <n v="18749"/>
    <n v="3889"/>
    <n v="142"/>
    <s v="Cliente"/>
    <n v="22"/>
    <x v="0"/>
    <n v="0"/>
    <n v="0"/>
    <n v="41"/>
    <s v="M"/>
    <s v="recife"/>
    <n v="36"/>
    <s v="Churn"/>
    <n v="1266"/>
    <n v="132.03521126760563"/>
    <x v="0"/>
  </r>
  <r>
    <s v="LEAD_90"/>
    <d v="2024-10-09T00:00:00"/>
    <x v="2"/>
    <s v="Wellness_Fev"/>
    <s v="Awareness"/>
    <n v="13347"/>
    <n v="1124"/>
    <n v="117"/>
    <s v="Oportunidade"/>
    <n v="27"/>
    <x v="0"/>
    <n v="0"/>
    <n v="0"/>
    <n v="40"/>
    <s v="F"/>
    <s v="recife"/>
    <n v="79"/>
    <s v="Churn"/>
    <n v="4231"/>
    <n v="114.07692307692308"/>
    <x v="0"/>
  </r>
  <r>
    <s v="LEAD_18"/>
    <d v="2024-11-19T00:00:00"/>
    <x v="3"/>
    <s v="Wellness_Fev"/>
    <s v="Awareness"/>
    <n v="13271"/>
    <n v="4090"/>
    <n v="285"/>
    <s v="Cliente"/>
    <n v="20"/>
    <x v="0"/>
    <n v="0"/>
    <n v="0"/>
    <n v="36"/>
    <s v="F"/>
    <s v="recife"/>
    <n v="87"/>
    <s v="Churn"/>
    <n v="2156"/>
    <n v="46.564912280701755"/>
    <x v="0"/>
  </r>
  <r>
    <s v="LEAD_106"/>
    <d v="2025-02-07T00:00:00"/>
    <x v="4"/>
    <s v="Wellness_Fev"/>
    <s v="Conversão"/>
    <n v="4317"/>
    <n v="3745"/>
    <n v="22"/>
    <s v="MQL"/>
    <n v="12"/>
    <x v="0"/>
    <n v="0"/>
    <n v="0"/>
    <n v="26"/>
    <s v="M"/>
    <s v="Belo Horizonte"/>
    <n v="81"/>
    <s v="Inativo"/>
    <n v="4389"/>
    <n v="196.22727272727272"/>
    <x v="0"/>
  </r>
  <r>
    <s v="LEAD_107"/>
    <d v="2024-03-16T00:00:00"/>
    <x v="3"/>
    <s v="Wellness_Fev"/>
    <s v="Lead"/>
    <n v="18474"/>
    <n v="442"/>
    <n v="54"/>
    <s v="SQL"/>
    <n v="18"/>
    <x v="0"/>
    <n v="0"/>
    <n v="0"/>
    <n v="40"/>
    <s v="M"/>
    <s v="Salvador"/>
    <n v="98"/>
    <s v="Inativo"/>
    <n v="809"/>
    <n v="342.11111111111109"/>
    <x v="0"/>
  </r>
  <r>
    <s v="LEAD_76"/>
    <d v="2024-12-24T00:00:00"/>
    <x v="4"/>
    <s v="Wellness_Fev"/>
    <s v="Awareness"/>
    <n v="3119"/>
    <n v="2097"/>
    <n v="175"/>
    <s v="Lead"/>
    <n v="25"/>
    <x v="0"/>
    <n v="0"/>
    <n v="0"/>
    <n v="32"/>
    <s v="F"/>
    <s v="Salvador"/>
    <n v="23"/>
    <s v="Inativo"/>
    <n v="5210"/>
    <n v="17.822857142857142"/>
    <x v="0"/>
  </r>
  <r>
    <s v="LEAD_78"/>
    <d v="2024-07-23T00:00:00"/>
    <x v="2"/>
    <s v="Wellness_Fev"/>
    <s v="Tráfego"/>
    <n v="5587"/>
    <n v="2110"/>
    <n v="238"/>
    <s v="MQL"/>
    <n v="4"/>
    <x v="0"/>
    <n v="0"/>
    <n v="0"/>
    <n v="38"/>
    <s v="F"/>
    <s v="recife"/>
    <n v="81"/>
    <s v="Inativo"/>
    <n v="2240"/>
    <n v="23.474789915966387"/>
    <x v="0"/>
  </r>
  <r>
    <s v="LEAD_68"/>
    <d v="2025-01-31T00:00:00"/>
    <x v="4"/>
    <s v="Wellness_Fev"/>
    <s v="Lead"/>
    <n v="13763"/>
    <n v="4098"/>
    <n v="113"/>
    <s v="Oportunidade"/>
    <n v="37"/>
    <x v="1"/>
    <n v="765"/>
    <n v="765"/>
    <n v="38"/>
    <s v="F"/>
    <s v="recife"/>
    <n v="13"/>
    <s v="Churn"/>
    <n v="2970"/>
    <n v="121.79646017699115"/>
    <x v="0"/>
  </r>
  <r>
    <s v="LEAD_63"/>
    <d v="2024-09-11T00:00:00"/>
    <x v="0"/>
    <s v="Wellness_Fev"/>
    <s v="Lead"/>
    <n v="6227"/>
    <n v="4181"/>
    <n v="187"/>
    <s v="Cliente"/>
    <n v="29"/>
    <x v="1"/>
    <n v="693"/>
    <n v="231"/>
    <n v="38"/>
    <s v="F"/>
    <s v="recife"/>
    <n v="48"/>
    <s v="Churn"/>
    <n v="2661"/>
    <n v="33.299465240641709"/>
    <x v="0"/>
  </r>
  <r>
    <s v="LEAD_91"/>
    <d v="2025-01-03T00:00:00"/>
    <x v="3"/>
    <s v="Wellness_Fev"/>
    <s v="Lead"/>
    <n v="5521"/>
    <n v="781"/>
    <n v="170"/>
    <s v="SQL"/>
    <n v="24"/>
    <x v="1"/>
    <n v="407"/>
    <n v="135.66999999999999"/>
    <n v="44"/>
    <s v="M"/>
    <s v="recife"/>
    <n v="99"/>
    <s v="Ativo"/>
    <n v="5810"/>
    <n v="32.476470588235294"/>
    <x v="0"/>
  </r>
  <r>
    <s v="LEAD_7"/>
    <d v="2024-07-30T00:00:00"/>
    <x v="3"/>
    <s v="Wellness_Fev"/>
    <s v="Awareness"/>
    <n v="2493"/>
    <n v="3078"/>
    <n v="114"/>
    <s v="Visitante"/>
    <n v="28"/>
    <x v="1"/>
    <n v="883"/>
    <n v="441.5"/>
    <n v="38"/>
    <s v="F"/>
    <s v="recife"/>
    <n v="90"/>
    <s v="Ativo"/>
    <n v="3442"/>
    <n v="21.868421052631579"/>
    <x v="0"/>
  </r>
  <r>
    <s v="LEAD_46"/>
    <d v="2024-11-23T00:00:00"/>
    <x v="0"/>
    <s v="Wellness_Fev"/>
    <s v="Tráfego"/>
    <n v="7999"/>
    <n v="1150"/>
    <n v="42"/>
    <s v="SQL"/>
    <n v="10"/>
    <x v="0"/>
    <n v="0"/>
    <n v="0"/>
    <n v="47"/>
    <s v="M"/>
    <s v="São Paulo"/>
    <n v="29"/>
    <s v="Ativo"/>
    <n v="5140"/>
    <n v="190.45238095238096"/>
    <x v="0"/>
  </r>
  <r>
    <s v="LEAD_29"/>
    <d v="2025-01-14T00:00:00"/>
    <x v="0"/>
    <s v="Wellness_Fev"/>
    <s v="Tráfego"/>
    <n v="1597"/>
    <n v="4330"/>
    <n v="142"/>
    <s v="MQL"/>
    <n v="30"/>
    <x v="1"/>
    <n v="803"/>
    <n v="803"/>
    <n v="40"/>
    <s v="M"/>
    <s v="São Paulo"/>
    <n v="34"/>
    <s v="Churn"/>
    <n v="456"/>
    <n v="11.246478873239436"/>
    <x v="0"/>
  </r>
  <r>
    <s v="LEAD_136"/>
    <d v="2024-08-07T00:00:00"/>
    <x v="3"/>
    <s v="Wellness_Fev"/>
    <s v="Tráfego"/>
    <n v="4410"/>
    <n v="2584"/>
    <n v="158"/>
    <s v="Cliente"/>
    <n v="26"/>
    <x v="1"/>
    <n v="353"/>
    <n v="353"/>
    <n v="29"/>
    <s v="F"/>
    <s v="Belo Horizonte"/>
    <n v="16"/>
    <s v="Inativo"/>
    <n v="2386"/>
    <n v="27.911392405063292"/>
    <x v="0"/>
  </r>
  <r>
    <s v="LEAD_129"/>
    <d v="2025-04-12T00:00:00"/>
    <x v="0"/>
    <s v="Wellness_Fev"/>
    <s v="Awareness"/>
    <n v="7702"/>
    <n v="580"/>
    <n v="11"/>
    <s v="Lead"/>
    <n v="18"/>
    <x v="1"/>
    <n v="269"/>
    <n v="269"/>
    <n v="19"/>
    <s v="M"/>
    <s v="recife"/>
    <n v="43"/>
    <s v="Churn"/>
    <n v="2358"/>
    <n v="700.18181818181813"/>
    <x v="0"/>
  </r>
  <r>
    <s v="LEAD_30"/>
    <d v="2025-06-20T00:00:00"/>
    <x v="0"/>
    <s v="Wellness_Fev"/>
    <s v="Tráfego"/>
    <n v="16405"/>
    <n v="4524"/>
    <n v="33"/>
    <s v="MQL"/>
    <n v="35"/>
    <x v="0"/>
    <n v="0"/>
    <n v="0"/>
    <n v="40"/>
    <s v="M"/>
    <s v="recife"/>
    <n v="75"/>
    <s v="Inativo"/>
    <n v="3631"/>
    <n v="497.12121212121212"/>
    <x v="0"/>
  </r>
  <r>
    <s v="LEAD_143"/>
    <d v="2025-03-22T00:00:00"/>
    <x v="4"/>
    <s v="Wellness_Fev"/>
    <s v="Lead"/>
    <n v="19691"/>
    <n v="1116"/>
    <n v="166"/>
    <s v="Oportunidade"/>
    <n v="2"/>
    <x v="0"/>
    <n v="0"/>
    <n v="0"/>
    <n v="38"/>
    <s v="F"/>
    <s v="Salvador"/>
    <n v="100"/>
    <s v="Ativo"/>
    <n v="2330"/>
    <n v="118.62048192771084"/>
    <x v="0"/>
  </r>
  <r>
    <s v="LEAD_57"/>
    <d v="2024-07-04T00:00:00"/>
    <x v="1"/>
    <s v="Wellness_Fev"/>
    <s v="Awareness"/>
    <n v="11006"/>
    <n v="1491"/>
    <n v="17"/>
    <s v="MQL"/>
    <n v="34"/>
    <x v="1"/>
    <n v="401"/>
    <n v="401"/>
    <n v="38"/>
    <s v="M"/>
    <s v="São Paulo"/>
    <n v="60"/>
    <s v="Churn"/>
    <n v="2674"/>
    <n v="647.41176470588232"/>
    <x v="0"/>
  </r>
  <r>
    <s v="LEAD_93"/>
    <d v="2024-06-04T00:00:00"/>
    <x v="4"/>
    <s v="Wellness_Fev"/>
    <s v="Conversão"/>
    <n v="1165"/>
    <n v="350"/>
    <n v="67"/>
    <s v="Cliente"/>
    <n v="15"/>
    <x v="0"/>
    <n v="0"/>
    <n v="0"/>
    <n v="40"/>
    <s v="M"/>
    <s v="Salvador"/>
    <n v="40"/>
    <s v="Inativo"/>
    <n v="4869"/>
    <n v="17.388059701492537"/>
    <x v="0"/>
  </r>
  <r>
    <s v="LEAD_6"/>
    <d v="2024-03-08T00:00:00"/>
    <x v="1"/>
    <s v="Wellness_Fev"/>
    <s v="Lead"/>
    <n v="11159"/>
    <n v="2523"/>
    <n v="248"/>
    <s v="Lead"/>
    <n v="23"/>
    <x v="0"/>
    <n v="0"/>
    <n v="0"/>
    <n v="38"/>
    <s v="F"/>
    <s v="Salvador"/>
    <n v="43"/>
    <s v="Churn"/>
    <n v="627"/>
    <n v="44.99596774193548"/>
    <x v="0"/>
  </r>
  <r>
    <s v="LEAD_48"/>
    <d v="2025-05-15T00:00:00"/>
    <x v="0"/>
    <s v="Wellness_Fev"/>
    <s v="Awareness"/>
    <n v="17673"/>
    <n v="4773"/>
    <n v="286"/>
    <s v="Lead"/>
    <n v="8"/>
    <x v="1"/>
    <n v="686"/>
    <n v="686"/>
    <n v="57"/>
    <s v="F"/>
    <s v="São Paulo"/>
    <n v="83"/>
    <s v="Churn"/>
    <n v="3558"/>
    <n v="61.793706293706293"/>
    <x v="0"/>
  </r>
  <r>
    <s v="LEAD_19"/>
    <d v="2024-05-18T00:00:00"/>
    <x v="1"/>
    <s v="Wellness_Fev"/>
    <s v="Lead"/>
    <n v="3182"/>
    <n v="697"/>
    <n v="204"/>
    <s v="Oportunidade"/>
    <n v="1"/>
    <x v="0"/>
    <n v="0"/>
    <n v="0"/>
    <n v="38"/>
    <s v="F"/>
    <s v="recife"/>
    <n v="21"/>
    <s v="Ativo"/>
    <n v="5975"/>
    <n v="15.598039215686274"/>
    <x v="0"/>
  </r>
  <r>
    <s v="LEAD_3"/>
    <d v="2024-07-10T00:00:00"/>
    <x v="1"/>
    <s v="Wellness_Fev"/>
    <s v="Awareness"/>
    <n v="4896"/>
    <n v="4726"/>
    <n v="254"/>
    <s v="MQL"/>
    <n v="33"/>
    <x v="1"/>
    <n v="406"/>
    <n v="203"/>
    <n v="22"/>
    <s v="M"/>
    <s v="Belo Horizonte"/>
    <n v="98"/>
    <s v="Inativo"/>
    <n v="5036"/>
    <n v="19.275590551181104"/>
    <x v="0"/>
  </r>
  <r>
    <s v="LEAD_141"/>
    <d v="2025-02-02T00:00:00"/>
    <x v="4"/>
    <s v="Wellness_Fev"/>
    <s v="Conversão"/>
    <n v="8607"/>
    <n v="2581"/>
    <n v="228"/>
    <s v="Lead"/>
    <n v="35"/>
    <x v="1"/>
    <n v="270"/>
    <n v="270"/>
    <n v="21"/>
    <s v="F"/>
    <s v="recife"/>
    <n v="28"/>
    <s v="Inativo"/>
    <n v="2712"/>
    <n v="37.75"/>
    <x v="0"/>
  </r>
  <r>
    <s v="LEAD_106"/>
    <d v="2024-05-26T00:00:00"/>
    <x v="0"/>
    <s v="Wellness_Fev"/>
    <s v="Conversão"/>
    <n v="4342"/>
    <n v="386"/>
    <n v="109"/>
    <s v="Cliente"/>
    <n v="20"/>
    <x v="0"/>
    <n v="0"/>
    <n v="0"/>
    <n v="21"/>
    <s v="M"/>
    <s v="recife"/>
    <n v="49"/>
    <s v="Inativo"/>
    <n v="3080"/>
    <n v="39.834862385321102"/>
    <x v="0"/>
  </r>
  <r>
    <s v="LEAD_150"/>
    <d v="2024-01-20T00:00:00"/>
    <x v="4"/>
    <s v="Wellness_Fev"/>
    <s v="Lead"/>
    <n v="6502"/>
    <n v="4583"/>
    <n v="110"/>
    <s v="Oportunidade"/>
    <n v="19"/>
    <x v="0"/>
    <n v="0"/>
    <n v="0"/>
    <n v="40"/>
    <s v="M"/>
    <s v="Salvador"/>
    <n v="29"/>
    <s v="Inativo"/>
    <n v="2227"/>
    <n v="59.109090909090909"/>
    <x v="0"/>
  </r>
  <r>
    <s v="LEAD_75"/>
    <d v="2025-03-09T00:00:00"/>
    <x v="2"/>
    <s v="Wellness_Fev"/>
    <s v="Awareness"/>
    <n v="9751"/>
    <n v="3624"/>
    <n v="86"/>
    <s v="Visitante"/>
    <n v="3"/>
    <x v="1"/>
    <n v="713"/>
    <n v="237.67"/>
    <n v="37"/>
    <s v="M"/>
    <s v="São Paulo"/>
    <n v="10"/>
    <s v="Ativo"/>
    <n v="1243"/>
    <n v="113.38372093023256"/>
    <x v="0"/>
  </r>
  <r>
    <s v="LEAD_66"/>
    <d v="2025-02-28T00:00:00"/>
    <x v="2"/>
    <s v="Wellness_Fev"/>
    <s v="Conversão"/>
    <n v="17843"/>
    <n v="3943"/>
    <n v="252"/>
    <s v="SQL"/>
    <n v="11"/>
    <x v="1"/>
    <n v="291"/>
    <n v="145.5"/>
    <n v="27"/>
    <s v="F"/>
    <s v="Salvador"/>
    <n v="57"/>
    <s v="Ativo"/>
    <n v="3236"/>
    <n v="70.805555555555557"/>
    <x v="0"/>
  </r>
  <r>
    <s v="LEAD_18"/>
    <d v="2024-07-10T00:00:00"/>
    <x v="3"/>
    <s v="Wellness_Fev"/>
    <s v="Tráfego"/>
    <n v="5554"/>
    <n v="1724"/>
    <n v="41"/>
    <s v="SQL"/>
    <n v="11"/>
    <x v="1"/>
    <n v="266"/>
    <n v="88.67"/>
    <n v="53"/>
    <s v="F"/>
    <s v="São Paulo"/>
    <n v="70"/>
    <s v="Inativo"/>
    <n v="475"/>
    <n v="135.46341463414635"/>
    <x v="0"/>
  </r>
  <r>
    <s v="LEAD_15"/>
    <d v="2024-09-09T00:00:00"/>
    <x v="3"/>
    <s v="Wellness_Fev"/>
    <s v="Conversão"/>
    <n v="2217"/>
    <n v="1379"/>
    <n v="188"/>
    <s v="Cliente"/>
    <n v="19"/>
    <x v="0"/>
    <n v="0"/>
    <n v="0"/>
    <n v="40"/>
    <s v="M"/>
    <s v="Belo Horizonte"/>
    <n v="91"/>
    <s v="Churn"/>
    <n v="2585"/>
    <n v="11.792553191489361"/>
    <x v="0"/>
  </r>
  <r>
    <s v="LEAD_137"/>
    <d v="2025-06-24T00:00:00"/>
    <x v="1"/>
    <s v="Wellness_Fev"/>
    <s v="Lead"/>
    <n v="5307"/>
    <n v="1194"/>
    <n v="11"/>
    <s v="Oportunidade"/>
    <n v="5"/>
    <x v="0"/>
    <n v="0"/>
    <n v="0"/>
    <n v="40"/>
    <s v="M"/>
    <s v="recife"/>
    <n v="18"/>
    <s v="Inativo"/>
    <n v="3484"/>
    <n v="482.45454545454544"/>
    <x v="0"/>
  </r>
  <r>
    <s v="LEAD_153"/>
    <d v="2024-01-24T00:00:00"/>
    <x v="3"/>
    <s v="Wellness_Fev"/>
    <s v="Awareness"/>
    <n v="2807"/>
    <n v="4075"/>
    <n v="200"/>
    <s v="Lead"/>
    <n v="34"/>
    <x v="1"/>
    <n v="503"/>
    <n v="503"/>
    <n v="52"/>
    <s v="F"/>
    <s v="recife"/>
    <n v="53"/>
    <s v="Ativo"/>
    <n v="4903"/>
    <n v="14.035"/>
    <x v="0"/>
  </r>
  <r>
    <s v="LEAD_41"/>
    <d v="2024-12-08T00:00:00"/>
    <x v="0"/>
    <s v="Wellness_Fev"/>
    <s v="Tráfego"/>
    <n v="18497"/>
    <n v="579"/>
    <n v="34"/>
    <s v="Cliente"/>
    <n v="9"/>
    <x v="1"/>
    <n v="785"/>
    <n v="785"/>
    <n v="20"/>
    <s v="F"/>
    <s v="recife"/>
    <n v="70"/>
    <s v="Inativo"/>
    <n v="4317"/>
    <n v="544.02941176470586"/>
    <x v="0"/>
  </r>
  <r>
    <s v="LEAD_45"/>
    <d v="2024-12-31T00:00:00"/>
    <x v="4"/>
    <s v="Wellness_Fev"/>
    <s v="Lead"/>
    <n v="10165"/>
    <n v="2321"/>
    <n v="40"/>
    <s v="Lead"/>
    <n v="1"/>
    <x v="1"/>
    <n v="541"/>
    <n v="180.33"/>
    <n v="38"/>
    <s v="F"/>
    <s v="recife"/>
    <n v="32"/>
    <s v="Inativo"/>
    <n v="4020"/>
    <n v="254.125"/>
    <x v="0"/>
  </r>
  <r>
    <s v="LEAD_11"/>
    <d v="2025-02-11T00:00:00"/>
    <x v="1"/>
    <s v="Wellness_Fev"/>
    <s v="Tráfego"/>
    <n v="15638"/>
    <n v="1471"/>
    <n v="193"/>
    <s v="MQL"/>
    <n v="6"/>
    <x v="1"/>
    <n v="416"/>
    <n v="208"/>
    <n v="40"/>
    <s v="M"/>
    <s v="São Paulo"/>
    <n v="15"/>
    <s v="Inativo"/>
    <n v="1940"/>
    <n v="81.025906735751292"/>
    <x v="0"/>
  </r>
  <r>
    <s v="LEAD_10"/>
    <d v="2025-05-01T00:00:00"/>
    <x v="0"/>
    <s v="Wellness_Fev"/>
    <s v="Lead"/>
    <n v="8443"/>
    <n v="3016"/>
    <n v="58"/>
    <s v="SQL"/>
    <n v="14"/>
    <x v="1"/>
    <n v="569"/>
    <n v="569"/>
    <n v="53"/>
    <s v="M"/>
    <s v="Belo Horizonte"/>
    <n v="63"/>
    <s v="Ativo"/>
    <n v="5109"/>
    <n v="145.56896551724137"/>
    <x v="0"/>
  </r>
  <r>
    <s v="LEAD_21"/>
    <d v="2024-04-12T00:00:00"/>
    <x v="1"/>
    <s v="Wellness_Mar"/>
    <s v="Conversão"/>
    <n v="8957"/>
    <n v="4236"/>
    <n v="220"/>
    <s v="Oportunidade"/>
    <n v="3"/>
    <x v="1"/>
    <n v="633"/>
    <n v="211"/>
    <n v="38"/>
    <s v="M"/>
    <s v="recife"/>
    <n v="92"/>
    <s v="Ativo"/>
    <n v="1741"/>
    <n v="40.713636363636361"/>
    <x v="0"/>
  </r>
  <r>
    <s v="LEAD_70"/>
    <d v="2024-10-03T00:00:00"/>
    <x v="2"/>
    <s v="Wellness_Mar"/>
    <s v="Awareness"/>
    <n v="4818"/>
    <n v="4015"/>
    <n v="21"/>
    <s v="Oportunidade"/>
    <n v="25"/>
    <x v="0"/>
    <n v="0"/>
    <n v="0"/>
    <n v="24"/>
    <s v="M"/>
    <s v="São Paulo"/>
    <n v="9"/>
    <s v="Ativo"/>
    <n v="5341"/>
    <n v="229.42857142857142"/>
    <x v="0"/>
  </r>
  <r>
    <s v="LEAD_137"/>
    <d v="2025-05-07T00:00:00"/>
    <x v="3"/>
    <s v="Wellness_Mar"/>
    <s v="Conversão"/>
    <n v="11318"/>
    <n v="3820"/>
    <n v="229"/>
    <s v="Cliente"/>
    <n v="23"/>
    <x v="1"/>
    <n v="819"/>
    <n v="273"/>
    <n v="20"/>
    <s v="F"/>
    <s v="Salvador"/>
    <n v="85"/>
    <s v="Ativo"/>
    <n v="3811"/>
    <n v="49.4235807860262"/>
    <x v="0"/>
  </r>
  <r>
    <s v="LEAD_93"/>
    <d v="2024-10-22T00:00:00"/>
    <x v="1"/>
    <s v="Wellness_Mar"/>
    <s v="Tráfego"/>
    <n v="16698"/>
    <n v="159"/>
    <n v="33"/>
    <s v="SQL"/>
    <n v="15"/>
    <x v="1"/>
    <n v="281"/>
    <n v="140.5"/>
    <n v="38"/>
    <s v="F"/>
    <s v="São Paulo"/>
    <n v="20"/>
    <s v="Ativo"/>
    <n v="662"/>
    <n v="506"/>
    <x v="0"/>
  </r>
  <r>
    <s v="LEAD_33"/>
    <d v="2024-09-15T00:00:00"/>
    <x v="0"/>
    <s v="Wellness_Mar"/>
    <s v="Awareness"/>
    <n v="3082"/>
    <n v="3332"/>
    <n v="271"/>
    <s v="Oportunidade"/>
    <n v="33"/>
    <x v="1"/>
    <n v="436"/>
    <n v="218"/>
    <n v="19"/>
    <s v="M"/>
    <s v="recife"/>
    <n v="68"/>
    <s v="Inativo"/>
    <n v="2460"/>
    <n v="11.372693726937269"/>
    <x v="0"/>
  </r>
  <r>
    <s v="LEAD_10"/>
    <d v="2024-08-03T00:00:00"/>
    <x v="0"/>
    <s v="Wellness_Mar"/>
    <s v="Conversão"/>
    <n v="13259"/>
    <n v="810"/>
    <n v="73"/>
    <s v="SQL"/>
    <n v="27"/>
    <x v="1"/>
    <n v="701"/>
    <n v="233.67"/>
    <n v="38"/>
    <s v="F"/>
    <s v="São Paulo"/>
    <n v="72"/>
    <s v="Inativo"/>
    <n v="5281"/>
    <n v="181.63013698630138"/>
    <x v="0"/>
  </r>
  <r>
    <s v="LEAD_90"/>
    <d v="2024-08-04T00:00:00"/>
    <x v="3"/>
    <s v="Wellness_Mar"/>
    <s v="Awareness"/>
    <n v="8445"/>
    <n v="750"/>
    <n v="253"/>
    <s v="Lead"/>
    <n v="2"/>
    <x v="0"/>
    <n v="0"/>
    <n v="0"/>
    <n v="38"/>
    <s v="F"/>
    <s v="Belo Horizonte"/>
    <n v="9"/>
    <s v="Churn"/>
    <n v="5364"/>
    <n v="33.379446640316203"/>
    <x v="0"/>
  </r>
  <r>
    <s v="LEAD_29"/>
    <d v="2024-01-20T00:00:00"/>
    <x v="3"/>
    <s v="Wellness_Mar"/>
    <s v="Awareness"/>
    <n v="6493"/>
    <n v="1668"/>
    <n v="73"/>
    <s v="Visitante"/>
    <n v="7"/>
    <x v="1"/>
    <n v="625"/>
    <n v="625"/>
    <n v="38"/>
    <s v="F"/>
    <s v="recife"/>
    <n v="98"/>
    <s v="Inativo"/>
    <n v="2159"/>
    <n v="88.945205479452056"/>
    <x v="0"/>
  </r>
  <r>
    <s v="LEAD_81"/>
    <d v="2024-09-16T00:00:00"/>
    <x v="2"/>
    <s v="Wellness_Mar"/>
    <s v="Awareness"/>
    <n v="12590"/>
    <n v="3246"/>
    <n v="254"/>
    <s v="Lead"/>
    <n v="14"/>
    <x v="0"/>
    <n v="0"/>
    <n v="0"/>
    <n v="40"/>
    <s v="M"/>
    <s v="recife"/>
    <n v="63"/>
    <s v="Inativo"/>
    <n v="2691"/>
    <n v="49.566929133858267"/>
    <x v="0"/>
  </r>
  <r>
    <s v="LEAD_30"/>
    <d v="2025-06-17T00:00:00"/>
    <x v="3"/>
    <s v="Wellness_Mar"/>
    <s v="Awareness"/>
    <n v="6057"/>
    <n v="1207"/>
    <n v="299"/>
    <s v="Oportunidade"/>
    <n v="5"/>
    <x v="0"/>
    <n v="0"/>
    <n v="0"/>
    <n v="29"/>
    <s v="M"/>
    <s v="São Paulo"/>
    <n v="78"/>
    <s v="Ativo"/>
    <n v="1689"/>
    <n v="20.257525083612041"/>
    <x v="0"/>
  </r>
  <r>
    <s v="LEAD_81"/>
    <d v="2024-03-21T00:00:00"/>
    <x v="3"/>
    <s v="Wellness_Mar"/>
    <s v="Lead"/>
    <n v="17436"/>
    <n v="1514"/>
    <n v="285"/>
    <s v="Cliente"/>
    <n v="5"/>
    <x v="1"/>
    <n v="420"/>
    <n v="140"/>
    <n v="52"/>
    <s v="F"/>
    <s v="São Paulo"/>
    <n v="13"/>
    <s v="Churn"/>
    <n v="5744"/>
    <n v="61.178947368421049"/>
    <x v="0"/>
  </r>
  <r>
    <s v="LEAD_106"/>
    <d v="2024-09-21T00:00:00"/>
    <x v="3"/>
    <s v="Wellness_Mar"/>
    <s v="Conversão"/>
    <n v="9695"/>
    <n v="1257"/>
    <n v="34"/>
    <s v="SQL"/>
    <n v="5"/>
    <x v="1"/>
    <n v="836"/>
    <n v="278.67"/>
    <n v="63"/>
    <s v="M"/>
    <s v="Belo Horizonte"/>
    <n v="58"/>
    <s v="Churn"/>
    <n v="3809"/>
    <n v="285.14705882352939"/>
    <x v="0"/>
  </r>
  <r>
    <s v="LEAD_112"/>
    <d v="2025-03-30T00:00:00"/>
    <x v="4"/>
    <s v="Wellness_Mar"/>
    <s v="Lead"/>
    <n v="8162"/>
    <n v="2365"/>
    <n v="19"/>
    <s v="SQL"/>
    <n v="5"/>
    <x v="1"/>
    <n v="756"/>
    <n v="378"/>
    <n v="38"/>
    <s v="F"/>
    <s v="recife"/>
    <n v="100"/>
    <s v="Ativo"/>
    <n v="2270"/>
    <n v="429.57894736842104"/>
    <x v="0"/>
  </r>
  <r>
    <s v="LEAD_31"/>
    <d v="2024-12-15T00:00:00"/>
    <x v="3"/>
    <s v="Wellness_Mar"/>
    <s v="Awareness"/>
    <n v="12640"/>
    <n v="2709"/>
    <n v="290"/>
    <s v="Oportunidade"/>
    <n v="22"/>
    <x v="1"/>
    <n v="461"/>
    <n v="230.5"/>
    <n v="40"/>
    <s v="M"/>
    <s v="recife"/>
    <n v="91"/>
    <s v="Churn"/>
    <n v="3848"/>
    <n v="43.586206896551722"/>
    <x v="0"/>
  </r>
  <r>
    <s v="LEAD_38"/>
    <d v="2024-04-03T00:00:00"/>
    <x v="0"/>
    <s v="Wellness_Mar"/>
    <s v="Tráfego"/>
    <n v="6406"/>
    <n v="4493"/>
    <n v="227"/>
    <s v="Oportunidade"/>
    <n v="5"/>
    <x v="1"/>
    <n v="685"/>
    <n v="342.5"/>
    <n v="35"/>
    <s v="F"/>
    <s v="São Paulo"/>
    <n v="5"/>
    <s v="Ativo"/>
    <n v="1222"/>
    <n v="28.220264317180618"/>
    <x v="0"/>
  </r>
  <r>
    <s v="LEAD_148"/>
    <d v="2024-04-23T00:00:00"/>
    <x v="3"/>
    <s v="Wellness_Mar"/>
    <s v="Tráfego"/>
    <n v="5632"/>
    <n v="2800"/>
    <n v="230"/>
    <s v="Cliente"/>
    <n v="36"/>
    <x v="0"/>
    <n v="0"/>
    <n v="0"/>
    <n v="46"/>
    <s v="M"/>
    <s v="Belo Horizonte"/>
    <n v="80"/>
    <s v="Inativo"/>
    <n v="1372"/>
    <n v="24.486956521739131"/>
    <x v="0"/>
  </r>
  <r>
    <s v="LEAD_112"/>
    <d v="2025-05-10T00:00:00"/>
    <x v="2"/>
    <s v="Wellness_Mar"/>
    <s v="Conversão"/>
    <n v="14917"/>
    <n v="2833"/>
    <n v="192"/>
    <s v="Lead"/>
    <n v="34"/>
    <x v="0"/>
    <n v="0"/>
    <n v="0"/>
    <n v="60"/>
    <s v="M"/>
    <s v="São Paulo"/>
    <n v="57"/>
    <s v="Ativo"/>
    <n v="3282"/>
    <n v="77.692708333333329"/>
    <x v="0"/>
  </r>
  <r>
    <s v="LEAD_26"/>
    <d v="2024-08-23T00:00:00"/>
    <x v="0"/>
    <s v="Wellness_Mar"/>
    <s v="Conversão"/>
    <n v="17699"/>
    <n v="967"/>
    <n v="128"/>
    <s v="Oportunidade"/>
    <n v="35"/>
    <x v="0"/>
    <n v="0"/>
    <n v="0"/>
    <n v="38"/>
    <s v="F"/>
    <s v="Belo Horizonte"/>
    <n v="22"/>
    <s v="Ativo"/>
    <n v="4643"/>
    <n v="138.2734375"/>
    <x v="0"/>
  </r>
  <r>
    <s v="LEAD_64"/>
    <d v="2024-07-04T00:00:00"/>
    <x v="4"/>
    <s v="Wellness_Mar"/>
    <s v="Tráfego"/>
    <n v="18430"/>
    <n v="1106"/>
    <n v="116"/>
    <s v="MQL"/>
    <n v="5"/>
    <x v="1"/>
    <n v="457"/>
    <n v="152.33000000000001"/>
    <n v="38"/>
    <s v="F"/>
    <s v="Salvador"/>
    <n v="70"/>
    <s v="Inativo"/>
    <n v="4912"/>
    <n v="158.87931034482759"/>
    <x v="0"/>
  </r>
  <r>
    <s v="LEAD_37"/>
    <d v="2024-06-26T00:00:00"/>
    <x v="4"/>
    <s v="Wellness_Mar"/>
    <s v="Lead"/>
    <n v="6827"/>
    <n v="2626"/>
    <n v="144"/>
    <s v="Lead"/>
    <n v="15"/>
    <x v="0"/>
    <n v="0"/>
    <n v="0"/>
    <n v="40"/>
    <s v="M"/>
    <s v="Belo Horizonte"/>
    <n v="2"/>
    <s v="Inativo"/>
    <n v="3504"/>
    <n v="47.409722222222221"/>
    <x v="0"/>
  </r>
  <r>
    <s v="LEAD_94"/>
    <d v="2025-02-19T00:00:00"/>
    <x v="3"/>
    <s v="Wellness_Mar"/>
    <s v="Tráfego"/>
    <n v="4411"/>
    <n v="3456"/>
    <n v="8"/>
    <s v="Cliente"/>
    <n v="38"/>
    <x v="0"/>
    <n v="0"/>
    <n v="0"/>
    <n v="38"/>
    <s v="F"/>
    <s v="recife"/>
    <n v="34"/>
    <s v="Ativo"/>
    <n v="2510"/>
    <n v="551.375"/>
    <x v="0"/>
  </r>
  <r>
    <s v="LEAD_12"/>
    <d v="2024-09-25T00:00:00"/>
    <x v="2"/>
    <s v="Wellness_Mar"/>
    <s v="Lead"/>
    <n v="13268"/>
    <n v="4742"/>
    <n v="249"/>
    <s v="SQL"/>
    <n v="22"/>
    <x v="0"/>
    <n v="0"/>
    <n v="0"/>
    <n v="18"/>
    <s v="F"/>
    <s v="Belo Horizonte"/>
    <n v="16"/>
    <s v="Ativo"/>
    <n v="4299"/>
    <n v="53.285140562248998"/>
    <x v="0"/>
  </r>
  <r>
    <s v="LEAD_139"/>
    <d v="2025-03-22T00:00:00"/>
    <x v="4"/>
    <s v="Wellness_Mar"/>
    <s v="Lead"/>
    <n v="4701"/>
    <n v="974"/>
    <n v="46"/>
    <s v="Cliente"/>
    <n v="1"/>
    <x v="0"/>
    <n v="0"/>
    <n v="0"/>
    <n v="40"/>
    <s v="M"/>
    <s v="recife"/>
    <n v="75"/>
    <s v="Inativo"/>
    <n v="4719"/>
    <n v="102.19565217391305"/>
    <x v="0"/>
  </r>
  <r>
    <s v="LEAD_95"/>
    <d v="2024-11-25T00:00:00"/>
    <x v="4"/>
    <s v="Wellness_Mar"/>
    <s v="Awareness"/>
    <n v="11903"/>
    <n v="1780"/>
    <n v="115"/>
    <s v="Cliente"/>
    <n v="20"/>
    <x v="0"/>
    <n v="0"/>
    <n v="0"/>
    <n v="38"/>
    <s v="F"/>
    <s v="São Paulo"/>
    <n v="10"/>
    <s v="Churn"/>
    <n v="2893"/>
    <n v="103.50434782608696"/>
    <x v="0"/>
  </r>
  <r>
    <s v="LEAD_76"/>
    <d v="2024-03-02T00:00:00"/>
    <x v="3"/>
    <s v="Wellness_Mar"/>
    <s v="Lead"/>
    <n v="18174"/>
    <n v="3257"/>
    <n v="4"/>
    <s v="Cliente"/>
    <n v="2"/>
    <x v="0"/>
    <n v="0"/>
    <n v="0"/>
    <n v="28"/>
    <s v="F"/>
    <s v="Belo Horizonte"/>
    <n v="9"/>
    <s v="Inativo"/>
    <n v="368"/>
    <n v="4543.5"/>
    <x v="0"/>
  </r>
  <r>
    <s v="LEAD_151"/>
    <d v="2025-04-03T00:00:00"/>
    <x v="2"/>
    <s v="Wellness_Mar"/>
    <s v="Conversão"/>
    <n v="7865"/>
    <n v="2048"/>
    <n v="263"/>
    <s v="SQL"/>
    <n v="17"/>
    <x v="1"/>
    <n v="398"/>
    <n v="199"/>
    <n v="38"/>
    <s v="F"/>
    <s v="recife"/>
    <n v="52"/>
    <s v="Inativo"/>
    <n v="5894"/>
    <n v="29.904942965779469"/>
    <x v="0"/>
  </r>
  <r>
    <s v="LEAD_36"/>
    <d v="2024-10-28T00:00:00"/>
    <x v="0"/>
    <s v="Wellness_Mar"/>
    <s v="Awareness"/>
    <n v="8955"/>
    <n v="329"/>
    <n v="11"/>
    <s v="MQL"/>
    <n v="27"/>
    <x v="0"/>
    <n v="0"/>
    <n v="0"/>
    <n v="31"/>
    <s v="F"/>
    <s v="recife"/>
    <n v="72"/>
    <s v="Churn"/>
    <n v="606"/>
    <n v="814.09090909090912"/>
    <x v="0"/>
  </r>
  <r>
    <s v="LEAD_58"/>
    <d v="2025-04-24T00:00:00"/>
    <x v="0"/>
    <s v="Wellness_Mar"/>
    <s v="Lead"/>
    <n v="19173"/>
    <n v="4712"/>
    <n v="189"/>
    <s v="Visitante"/>
    <n v="31"/>
    <x v="1"/>
    <n v="554"/>
    <n v="184.67"/>
    <n v="38"/>
    <s v="F"/>
    <s v="recife"/>
    <n v="56"/>
    <s v="Ativo"/>
    <n v="4642"/>
    <n v="101.44444444444444"/>
    <x v="0"/>
  </r>
  <r>
    <s v="LEAD_115"/>
    <d v="2024-05-14T00:00:00"/>
    <x v="1"/>
    <s v="Wellness_Mar"/>
    <s v="Conversão"/>
    <n v="9955"/>
    <n v="1521"/>
    <n v="233"/>
    <s v="Oportunidade"/>
    <n v="31"/>
    <x v="1"/>
    <n v="539"/>
    <n v="269.5"/>
    <n v="38"/>
    <s v="F"/>
    <s v="recife"/>
    <n v="25"/>
    <s v="Churn"/>
    <n v="3885"/>
    <n v="42.725321888412019"/>
    <x v="0"/>
  </r>
  <r>
    <s v="LEAD_93"/>
    <d v="2025-02-13T00:00:00"/>
    <x v="1"/>
    <s v="Wellness_Mar"/>
    <s v="Awareness"/>
    <n v="5861"/>
    <n v="487"/>
    <n v="30"/>
    <s v="Cliente"/>
    <n v="36"/>
    <x v="0"/>
    <n v="0"/>
    <n v="0"/>
    <n v="61"/>
    <s v="F"/>
    <s v="recife"/>
    <n v="46"/>
    <s v="Ativo"/>
    <n v="4637"/>
    <n v="195.36666666666667"/>
    <x v="0"/>
  </r>
  <r>
    <s v="LEAD_36"/>
    <d v="2024-05-12T00:00:00"/>
    <x v="3"/>
    <s v="Wellness_Mar"/>
    <s v="Conversão"/>
    <n v="14373"/>
    <n v="3241"/>
    <n v="177"/>
    <s v="SQL"/>
    <n v="12"/>
    <x v="0"/>
    <n v="0"/>
    <n v="0"/>
    <n v="20"/>
    <s v="F"/>
    <s v="Belo Horizonte"/>
    <n v="1"/>
    <s v="Ativo"/>
    <n v="686"/>
    <n v="81.20338983050847"/>
    <x v="0"/>
  </r>
  <r>
    <s v="LEAD_136"/>
    <d v="2024-12-21T00:00:00"/>
    <x v="2"/>
    <s v="Wellness_Mar"/>
    <s v="Lead"/>
    <n v="14422"/>
    <n v="2510"/>
    <n v="267"/>
    <s v="Oportunidade"/>
    <n v="22"/>
    <x v="1"/>
    <n v="860"/>
    <n v="860"/>
    <n v="54"/>
    <s v="F"/>
    <s v="recife"/>
    <n v="28"/>
    <s v="Churn"/>
    <n v="2443"/>
    <n v="54.014981273408239"/>
    <x v="0"/>
  </r>
  <r>
    <s v="LEAD_135"/>
    <d v="2024-04-11T00:00:00"/>
    <x v="2"/>
    <s v="Wellness_Mar"/>
    <s v="Conversão"/>
    <n v="13928"/>
    <n v="3922"/>
    <n v="247"/>
    <s v="MQL"/>
    <n v="15"/>
    <x v="0"/>
    <n v="0"/>
    <n v="0"/>
    <n v="27"/>
    <s v="F"/>
    <s v="Salvador"/>
    <n v="8"/>
    <s v="Inativo"/>
    <n v="2586"/>
    <n v="56.388663967611336"/>
    <x v="0"/>
  </r>
  <r>
    <s v="LEAD_111"/>
    <d v="2024-03-04T00:00:00"/>
    <x v="1"/>
    <s v="Wellness_Mar"/>
    <s v="Lead"/>
    <n v="18465"/>
    <n v="4029"/>
    <n v="89"/>
    <s v="Lead"/>
    <n v="39"/>
    <x v="0"/>
    <n v="0"/>
    <n v="0"/>
    <n v="42"/>
    <s v="M"/>
    <s v="Salvador"/>
    <n v="50"/>
    <s v="Churn"/>
    <n v="3347"/>
    <n v="207.47191011235955"/>
    <x v="0"/>
  </r>
  <r>
    <s v="LEAD_114"/>
    <d v="2024-03-11T00:00:00"/>
    <x v="4"/>
    <s v="Wellness_Mar"/>
    <s v="Conversão"/>
    <n v="11714"/>
    <n v="4171"/>
    <n v="140"/>
    <s v="SQL"/>
    <n v="4"/>
    <x v="0"/>
    <n v="0"/>
    <n v="0"/>
    <n v="38"/>
    <s v="F"/>
    <s v="São Paulo"/>
    <n v="89"/>
    <s v="Ativo"/>
    <n v="1433"/>
    <n v="83.671428571428578"/>
    <x v="0"/>
  </r>
  <r>
    <s v="LEAD_142"/>
    <d v="2024-05-27T00:00:00"/>
    <x v="1"/>
    <s v="Wellness_Mar"/>
    <s v="Lead"/>
    <n v="9699"/>
    <n v="222"/>
    <n v="37"/>
    <s v="Lead"/>
    <n v="21"/>
    <x v="1"/>
    <n v="489"/>
    <n v="489"/>
    <n v="33"/>
    <s v="F"/>
    <s v="Salvador"/>
    <n v="32"/>
    <s v="Ativo"/>
    <n v="4644"/>
    <n v="262.13513513513516"/>
    <x v="0"/>
  </r>
  <r>
    <s v="LEAD_82"/>
    <d v="2024-11-04T00:00:00"/>
    <x v="0"/>
    <s v="Wellness_Mar"/>
    <s v="Lead"/>
    <n v="2879"/>
    <n v="4628"/>
    <n v="239"/>
    <s v="Cliente"/>
    <n v="32"/>
    <x v="0"/>
    <n v="0"/>
    <n v="0"/>
    <n v="40"/>
    <s v="M"/>
    <s v="recife"/>
    <n v="35"/>
    <s v="Inativo"/>
    <n v="4527"/>
    <n v="12.04602510460251"/>
    <x v="0"/>
  </r>
  <r>
    <s v="LEAD_116"/>
    <d v="2025-01-30T00:00:00"/>
    <x v="2"/>
    <s v="Wellness_Mar"/>
    <s v="Tráfego"/>
    <n v="13761"/>
    <n v="4169"/>
    <n v="110"/>
    <s v="Cliente"/>
    <n v="1"/>
    <x v="0"/>
    <n v="0"/>
    <n v="0"/>
    <n v="40"/>
    <s v="M"/>
    <s v="recife"/>
    <n v="57"/>
    <s v="Ativo"/>
    <n v="3854"/>
    <n v="125.1"/>
    <x v="0"/>
  </r>
  <r>
    <s v="LEAD_119"/>
    <d v="2024-07-31T00:00:00"/>
    <x v="1"/>
    <s v="Wellness_Mar"/>
    <s v="Conversão"/>
    <n v="9070"/>
    <n v="2195"/>
    <n v="123"/>
    <s v="MQL"/>
    <n v="31"/>
    <x v="0"/>
    <n v="0"/>
    <n v="0"/>
    <n v="38"/>
    <s v="F"/>
    <s v="São Paulo"/>
    <n v="87"/>
    <s v="Churn"/>
    <n v="1884"/>
    <n v="73.739837398373979"/>
    <x v="0"/>
  </r>
  <r>
    <s v="LEAD_52"/>
    <d v="2024-10-28T00:00:00"/>
    <x v="4"/>
    <s v="Wellness_Mar"/>
    <s v="Tráfego"/>
    <n v="17364"/>
    <n v="2904"/>
    <n v="248"/>
    <s v="Lead"/>
    <n v="21"/>
    <x v="0"/>
    <n v="0"/>
    <n v="0"/>
    <n v="31"/>
    <s v="F"/>
    <s v="Belo Horizonte"/>
    <n v="96"/>
    <s v="Churn"/>
    <n v="2983"/>
    <n v="70.016129032258064"/>
    <x v="0"/>
  </r>
  <r>
    <s v="LEAD_92"/>
    <d v="2025-02-06T00:00:00"/>
    <x v="4"/>
    <s v="Wellness_Mar"/>
    <s v="Conversão"/>
    <n v="9574"/>
    <n v="3517"/>
    <n v="85"/>
    <s v="SQL"/>
    <n v="39"/>
    <x v="1"/>
    <n v="335"/>
    <n v="111.67"/>
    <n v="63"/>
    <s v="M"/>
    <s v="Belo Horizonte"/>
    <n v="23"/>
    <s v="Ativo"/>
    <n v="2439"/>
    <n v="112.63529411764706"/>
    <x v="0"/>
  </r>
  <r>
    <s v="LEAD_80"/>
    <d v="2024-04-26T00:00:00"/>
    <x v="0"/>
    <s v="Wellness_Mar"/>
    <s v="Awareness"/>
    <n v="8844"/>
    <n v="2611"/>
    <n v="65"/>
    <s v="MQL"/>
    <n v="8"/>
    <x v="1"/>
    <n v="687"/>
    <n v="687"/>
    <n v="38"/>
    <s v="F"/>
    <s v="São Paulo"/>
    <n v="94"/>
    <s v="Churn"/>
    <n v="3050"/>
    <n v="136.06153846153848"/>
    <x v="0"/>
  </r>
  <r>
    <s v="LEAD_79"/>
    <d v="2024-01-19T00:00:00"/>
    <x v="4"/>
    <s v="Wellness_Mar"/>
    <s v="Tráfego"/>
    <n v="5147"/>
    <n v="1649"/>
    <n v="113"/>
    <s v="Visitante"/>
    <n v="35"/>
    <x v="0"/>
    <n v="0"/>
    <n v="0"/>
    <n v="40"/>
    <s v="M"/>
    <s v="recife"/>
    <n v="60"/>
    <s v="Inativo"/>
    <n v="1844"/>
    <n v="45.548672566371678"/>
    <x v="0"/>
  </r>
  <r>
    <s v="LEAD_5"/>
    <d v="2025-04-26T00:00:00"/>
    <x v="0"/>
    <s v="Wellness_Mar"/>
    <s v="Awareness"/>
    <n v="12886"/>
    <n v="1364"/>
    <n v="31"/>
    <s v="SQL"/>
    <n v="32"/>
    <x v="0"/>
    <n v="0"/>
    <n v="0"/>
    <n v="54"/>
    <s v="M"/>
    <s v="recife"/>
    <n v="82"/>
    <s v="Inativo"/>
    <n v="4933"/>
    <n v="415.67741935483872"/>
    <x v="0"/>
  </r>
  <r>
    <s v="LEAD_40"/>
    <d v="2024-03-31T00:00:00"/>
    <x v="2"/>
    <s v="Wellness_Mar"/>
    <s v="Lead"/>
    <n v="15816"/>
    <n v="3467"/>
    <n v="137"/>
    <s v="MQL"/>
    <n v="10"/>
    <x v="0"/>
    <n v="0"/>
    <n v="0"/>
    <n v="45"/>
    <s v="F"/>
    <s v="Salvador"/>
    <n v="45"/>
    <s v="Inativo"/>
    <n v="1979"/>
    <n v="115.44525547445255"/>
    <x v="0"/>
  </r>
  <r>
    <s v="LEAD_112"/>
    <d v="2024-08-02T00:00:00"/>
    <x v="0"/>
    <s v="Wellness_Mar"/>
    <s v="Lead"/>
    <n v="3044"/>
    <n v="3126"/>
    <n v="166"/>
    <s v="Cliente"/>
    <n v="39"/>
    <x v="1"/>
    <n v="237"/>
    <n v="79"/>
    <n v="28"/>
    <s v="M"/>
    <s v="recife"/>
    <n v="66"/>
    <s v="Ativo"/>
    <n v="5480"/>
    <n v="18.337349397590362"/>
    <x v="0"/>
  </r>
  <r>
    <s v="LEAD_138"/>
    <d v="2024-01-19T00:00:00"/>
    <x v="0"/>
    <s v="Wellness_Mar"/>
    <s v="Conversão"/>
    <n v="2431"/>
    <n v="1764"/>
    <n v="4"/>
    <s v="Lead"/>
    <n v="20"/>
    <x v="0"/>
    <n v="0"/>
    <n v="0"/>
    <n v="48"/>
    <s v="F"/>
    <s v="recife"/>
    <n v="6"/>
    <s v="Inativo"/>
    <n v="4188"/>
    <n v="607.75"/>
    <x v="0"/>
  </r>
  <r>
    <s v="LEAD_92"/>
    <d v="2024-03-19T00:00:00"/>
    <x v="3"/>
    <s v="Wellness_Mar"/>
    <s v="Lead"/>
    <n v="17824"/>
    <n v="3156"/>
    <n v="276"/>
    <s v="MQL"/>
    <n v="18"/>
    <x v="0"/>
    <n v="0"/>
    <n v="0"/>
    <n v="38"/>
    <s v="F"/>
    <s v="Salvador"/>
    <n v="86"/>
    <s v="Inativo"/>
    <n v="4902"/>
    <n v="64.579710144927532"/>
    <x v="0"/>
  </r>
  <r>
    <s v="LEAD_118"/>
    <d v="2024-07-02T00:00:00"/>
    <x v="4"/>
    <s v="Wellness_Mar"/>
    <s v="Conversão"/>
    <n v="8924"/>
    <n v="4708"/>
    <n v="56"/>
    <s v="Cliente"/>
    <n v="28"/>
    <x v="1"/>
    <n v="454"/>
    <n v="454"/>
    <n v="40"/>
    <s v="M"/>
    <s v="Belo Horizonte"/>
    <n v="92"/>
    <s v="Churn"/>
    <n v="5292"/>
    <n v="159.35714285714286"/>
    <x v="0"/>
  </r>
  <r>
    <s v="LEAD_107"/>
    <d v="2024-07-26T00:00:00"/>
    <x v="3"/>
    <s v="Wellness_Abr"/>
    <s v="Conversão"/>
    <n v="6659"/>
    <n v="3315"/>
    <n v="211"/>
    <s v="Oportunidade"/>
    <n v="3"/>
    <x v="0"/>
    <n v="0"/>
    <n v="0"/>
    <n v="38"/>
    <s v="F"/>
    <s v="São Paulo"/>
    <n v="2"/>
    <s v="Inativo"/>
    <n v="2742"/>
    <n v="31.559241706161139"/>
    <x v="0"/>
  </r>
  <r>
    <s v="LEAD_44"/>
    <d v="2024-12-28T00:00:00"/>
    <x v="1"/>
    <s v="Wellness_Abr"/>
    <s v="Tráfego"/>
    <n v="7830"/>
    <n v="915"/>
    <n v="106"/>
    <s v="Visitante"/>
    <n v="25"/>
    <x v="1"/>
    <n v="731"/>
    <n v="731"/>
    <n v="48"/>
    <s v="M"/>
    <s v="São Paulo"/>
    <n v="64"/>
    <s v="Churn"/>
    <n v="4241"/>
    <n v="73.867924528301884"/>
    <x v="0"/>
  </r>
  <r>
    <s v="LEAD_103"/>
    <d v="2024-07-07T00:00:00"/>
    <x v="2"/>
    <s v="Wellness_Abr"/>
    <s v="Conversão"/>
    <n v="2997"/>
    <n v="4215"/>
    <n v="280"/>
    <s v="SQL"/>
    <n v="33"/>
    <x v="0"/>
    <n v="0"/>
    <n v="0"/>
    <n v="38"/>
    <s v="F"/>
    <s v="recife"/>
    <n v="88"/>
    <s v="Ativo"/>
    <n v="4905"/>
    <n v="10.703571428571429"/>
    <x v="0"/>
  </r>
  <r>
    <s v="LEAD_111"/>
    <d v="2025-03-28T00:00:00"/>
    <x v="4"/>
    <s v="Wellness_Abr"/>
    <s v="Awareness"/>
    <n v="2486"/>
    <n v="1842"/>
    <n v="260"/>
    <s v="MQL"/>
    <n v="32"/>
    <x v="1"/>
    <n v="746"/>
    <n v="746"/>
    <n v="40"/>
    <s v="M"/>
    <s v="Salvador"/>
    <n v="33"/>
    <s v="Inativo"/>
    <n v="2556"/>
    <n v="9.5615384615384613"/>
    <x v="0"/>
  </r>
  <r>
    <s v="LEAD_76"/>
    <d v="2024-12-23T00:00:00"/>
    <x v="3"/>
    <s v="Wellness_Abr"/>
    <s v="Tráfego"/>
    <n v="18165"/>
    <n v="2397"/>
    <n v="171"/>
    <s v="MQL"/>
    <n v="36"/>
    <x v="0"/>
    <n v="0"/>
    <n v="0"/>
    <n v="38"/>
    <s v="F"/>
    <s v="São Paulo"/>
    <n v="26"/>
    <s v="Inativo"/>
    <n v="1047"/>
    <n v="106.2280701754386"/>
    <x v="0"/>
  </r>
  <r>
    <s v="LEAD_133"/>
    <d v="2025-04-24T00:00:00"/>
    <x v="2"/>
    <s v="Wellness_Abr"/>
    <s v="Lead"/>
    <n v="18151"/>
    <n v="4790"/>
    <n v="79"/>
    <s v="Cliente"/>
    <n v="36"/>
    <x v="1"/>
    <n v="504"/>
    <n v="168"/>
    <n v="40"/>
    <s v="M"/>
    <s v="São Paulo"/>
    <n v="2"/>
    <s v="Inativo"/>
    <n v="1537"/>
    <n v="229.75949367088609"/>
    <x v="0"/>
  </r>
  <r>
    <s v="LEAD_101"/>
    <d v="2024-08-22T00:00:00"/>
    <x v="1"/>
    <s v="Wellness_Abr"/>
    <s v="Tráfego"/>
    <n v="13512"/>
    <n v="4771"/>
    <n v="229"/>
    <s v="Cliente"/>
    <n v="12"/>
    <x v="1"/>
    <n v="642"/>
    <n v="214"/>
    <n v="40"/>
    <s v="M"/>
    <s v="Belo Horizonte"/>
    <n v="16"/>
    <s v="Inativo"/>
    <n v="1692"/>
    <n v="59.004366812227076"/>
    <x v="0"/>
  </r>
  <r>
    <s v="LEAD_75"/>
    <d v="2024-04-21T00:00:00"/>
    <x v="4"/>
    <s v="Wellness_Abr"/>
    <s v="Tráfego"/>
    <n v="14404"/>
    <n v="1713"/>
    <n v="75"/>
    <s v="Visitante"/>
    <n v="26"/>
    <x v="0"/>
    <n v="0"/>
    <n v="0"/>
    <n v="40"/>
    <s v="M"/>
    <s v="Belo Horizonte"/>
    <n v="5"/>
    <s v="Inativo"/>
    <n v="5214"/>
    <n v="192.05333333333334"/>
    <x v="0"/>
  </r>
  <r>
    <s v="LEAD_84"/>
    <d v="2024-01-10T00:00:00"/>
    <x v="2"/>
    <s v="Wellness_Abr"/>
    <s v="Tráfego"/>
    <n v="2176"/>
    <n v="2781"/>
    <n v="236"/>
    <s v="SQL"/>
    <n v="10"/>
    <x v="0"/>
    <n v="0"/>
    <n v="0"/>
    <n v="38"/>
    <s v="F"/>
    <s v="Belo Horizonte"/>
    <n v="71"/>
    <s v="Churn"/>
    <n v="2547"/>
    <n v="9.2203389830508478"/>
    <x v="0"/>
  </r>
  <r>
    <s v="LEAD_19"/>
    <d v="2024-11-08T00:00:00"/>
    <x v="3"/>
    <s v="Wellness_Abr"/>
    <s v="Lead"/>
    <n v="4724"/>
    <n v="1600"/>
    <n v="16"/>
    <s v="Lead"/>
    <n v="6"/>
    <x v="0"/>
    <n v="0"/>
    <n v="0"/>
    <n v="40"/>
    <s v="M"/>
    <s v="São Paulo"/>
    <n v="25"/>
    <s v="Churn"/>
    <n v="5304"/>
    <n v="295.25"/>
    <x v="0"/>
  </r>
  <r>
    <s v="LEAD_82"/>
    <d v="2024-01-01T00:00:00"/>
    <x v="2"/>
    <s v="Wellness_Abr"/>
    <s v="Tráfego"/>
    <n v="12882"/>
    <n v="3284"/>
    <n v="266"/>
    <s v="Lead"/>
    <n v="4"/>
    <x v="1"/>
    <n v="857"/>
    <n v="428.5"/>
    <n v="55"/>
    <s v="F"/>
    <s v="Belo Horizonte"/>
    <n v="41"/>
    <s v="Inativo"/>
    <n v="4451"/>
    <n v="48.428571428571431"/>
    <x v="0"/>
  </r>
  <r>
    <s v="LEAD_3"/>
    <d v="2024-03-14T00:00:00"/>
    <x v="0"/>
    <s v="Wellness_Abr"/>
    <s v="Awareness"/>
    <n v="7418"/>
    <n v="1495"/>
    <n v="48"/>
    <s v="MQL"/>
    <n v="8"/>
    <x v="0"/>
    <n v="0"/>
    <n v="0"/>
    <n v="38"/>
    <s v="F"/>
    <s v="recife"/>
    <n v="59"/>
    <s v="Churn"/>
    <n v="2314"/>
    <n v="154.54166666666666"/>
    <x v="0"/>
  </r>
  <r>
    <s v="LEAD_17"/>
    <d v="2024-04-13T00:00:00"/>
    <x v="4"/>
    <s v="Wellness_Abr"/>
    <s v="Tráfego"/>
    <n v="14875"/>
    <n v="1956"/>
    <n v="157"/>
    <s v="SQL"/>
    <n v="13"/>
    <x v="0"/>
    <n v="0"/>
    <n v="0"/>
    <n v="54"/>
    <s v="F"/>
    <s v="Salvador"/>
    <n v="13"/>
    <s v="Inativo"/>
    <n v="3253"/>
    <n v="94.745222929936304"/>
    <x v="0"/>
  </r>
  <r>
    <s v="LEAD_43"/>
    <d v="2024-12-13T00:00:00"/>
    <x v="1"/>
    <s v="Wellness_Abr"/>
    <s v="Lead"/>
    <n v="1060"/>
    <n v="2794"/>
    <n v="180"/>
    <s v="Visitante"/>
    <n v="21"/>
    <x v="0"/>
    <n v="0"/>
    <n v="0"/>
    <n v="62"/>
    <s v="M"/>
    <s v="Salvador"/>
    <n v="66"/>
    <s v="Inativo"/>
    <n v="5256"/>
    <n v="5.8888888888888893"/>
    <x v="0"/>
  </r>
  <r>
    <s v="LEAD_90"/>
    <d v="2024-12-10T00:00:00"/>
    <x v="0"/>
    <s v="Wellness_Abr"/>
    <s v="Conversão"/>
    <n v="12755"/>
    <n v="4271"/>
    <n v="189"/>
    <s v="Visitante"/>
    <n v="16"/>
    <x v="1"/>
    <n v="199"/>
    <n v="99.5"/>
    <n v="63"/>
    <s v="M"/>
    <s v="Salvador"/>
    <n v="23"/>
    <s v="Inativo"/>
    <n v="300"/>
    <n v="67.48677248677248"/>
    <x v="0"/>
  </r>
  <r>
    <s v="LEAD_45"/>
    <d v="2024-06-27T00:00:00"/>
    <x v="0"/>
    <s v="Wellness_Abr"/>
    <s v="Tráfego"/>
    <n v="1969"/>
    <n v="4586"/>
    <n v="10"/>
    <s v="Visitante"/>
    <n v="25"/>
    <x v="1"/>
    <n v="335"/>
    <n v="335"/>
    <n v="38"/>
    <s v="F"/>
    <s v="Salvador"/>
    <n v="5"/>
    <s v="Ativo"/>
    <n v="2842"/>
    <n v="196.9"/>
    <x v="0"/>
  </r>
  <r>
    <s v="LEAD_11"/>
    <d v="2025-05-31T00:00:00"/>
    <x v="4"/>
    <s v="Wellness_Abr"/>
    <s v="Awareness"/>
    <n v="17819"/>
    <n v="1266"/>
    <n v="205"/>
    <s v="Lead"/>
    <n v="10"/>
    <x v="0"/>
    <n v="0"/>
    <n v="0"/>
    <n v="27"/>
    <s v="M"/>
    <s v="recife"/>
    <n v="44"/>
    <s v="Inativo"/>
    <n v="1453"/>
    <n v="86.921951219512195"/>
    <x v="0"/>
  </r>
  <r>
    <s v="LEAD_42"/>
    <d v="2024-02-02T00:00:00"/>
    <x v="4"/>
    <s v="Wellness_Abr"/>
    <s v="Tráfego"/>
    <n v="6830"/>
    <n v="1133"/>
    <n v="227"/>
    <s v="MQL"/>
    <n v="2"/>
    <x v="1"/>
    <n v="363"/>
    <n v="181.5"/>
    <n v="26"/>
    <s v="M"/>
    <s v="recife"/>
    <n v="78"/>
    <s v="Ativo"/>
    <n v="4331"/>
    <n v="30.088105726872246"/>
    <x v="0"/>
  </r>
  <r>
    <s v="LEAD_11"/>
    <d v="2024-02-17T00:00:00"/>
    <x v="2"/>
    <s v="Wellness_Abr"/>
    <s v="Awareness"/>
    <n v="4728"/>
    <n v="2559"/>
    <n v="25"/>
    <s v="SQL"/>
    <n v="31"/>
    <x v="0"/>
    <n v="0"/>
    <n v="0"/>
    <n v="34"/>
    <s v="M"/>
    <s v="recife"/>
    <n v="47"/>
    <s v="Inativo"/>
    <n v="1350"/>
    <n v="189.12"/>
    <x v="0"/>
  </r>
  <r>
    <s v="LEAD_33"/>
    <d v="2024-11-15T00:00:00"/>
    <x v="4"/>
    <s v="Wellness_Abr"/>
    <s v="Lead"/>
    <n v="8030"/>
    <n v="3404"/>
    <n v="139"/>
    <s v="Cliente"/>
    <n v="20"/>
    <x v="0"/>
    <n v="0"/>
    <n v="0"/>
    <n v="55"/>
    <s v="M"/>
    <s v="recife"/>
    <n v="46"/>
    <s v="Churn"/>
    <n v="3879"/>
    <n v="57.769784172661872"/>
    <x v="0"/>
  </r>
  <r>
    <s v="LEAD_40"/>
    <d v="2025-01-14T00:00:00"/>
    <x v="3"/>
    <s v="Wellness_Abr"/>
    <s v="Lead"/>
    <n v="1887"/>
    <n v="3471"/>
    <n v="202"/>
    <s v="Visitante"/>
    <n v="21"/>
    <x v="1"/>
    <n v="855"/>
    <n v="427.5"/>
    <n v="28"/>
    <s v="M"/>
    <s v="Salvador"/>
    <n v="57"/>
    <s v="Ativo"/>
    <n v="2406"/>
    <n v="9.3415841584158414"/>
    <x v="0"/>
  </r>
  <r>
    <s v="LEAD_146"/>
    <d v="2025-05-25T00:00:00"/>
    <x v="4"/>
    <s v="Wellness_Abr"/>
    <s v="Conversão"/>
    <n v="4970"/>
    <n v="4865"/>
    <n v="159"/>
    <s v="Oportunidade"/>
    <n v="2"/>
    <x v="0"/>
    <n v="0"/>
    <n v="0"/>
    <n v="42"/>
    <s v="F"/>
    <s v="Belo Horizonte"/>
    <n v="49"/>
    <s v="Ativo"/>
    <n v="5722"/>
    <n v="31.257861635220127"/>
    <x v="0"/>
  </r>
  <r>
    <s v="LEAD_95"/>
    <d v="2024-05-09T00:00:00"/>
    <x v="3"/>
    <s v="Wellness_Abr"/>
    <s v="Awareness"/>
    <n v="5686"/>
    <n v="1321"/>
    <n v="179"/>
    <s v="Visitante"/>
    <n v="12"/>
    <x v="1"/>
    <n v="527"/>
    <n v="175.67"/>
    <n v="45"/>
    <s v="F"/>
    <s v="Belo Horizonte"/>
    <n v="91"/>
    <s v="Ativo"/>
    <n v="3157"/>
    <n v="31.765363128491622"/>
    <x v="0"/>
  </r>
  <r>
    <s v="LEAD_8"/>
    <d v="2025-01-17T00:00:00"/>
    <x v="4"/>
    <s v="Wellness_Abr"/>
    <s v="Awareness"/>
    <n v="14179"/>
    <n v="4146"/>
    <n v="77"/>
    <s v="SQL"/>
    <n v="3"/>
    <x v="0"/>
    <n v="0"/>
    <n v="0"/>
    <n v="22"/>
    <s v="F"/>
    <s v="recife"/>
    <n v="7"/>
    <s v="Ativo"/>
    <n v="4820"/>
    <n v="184.14285714285714"/>
    <x v="0"/>
  </r>
  <r>
    <s v="LEAD_111"/>
    <d v="2025-03-22T00:00:00"/>
    <x v="2"/>
    <s v="Wellness_Abr"/>
    <s v="Conversão"/>
    <n v="1008"/>
    <n v="2834"/>
    <n v="96"/>
    <s v="Oportunidade"/>
    <n v="17"/>
    <x v="1"/>
    <n v="196"/>
    <n v="196"/>
    <n v="38"/>
    <s v="F"/>
    <s v="recife"/>
    <n v="31"/>
    <s v="Inativo"/>
    <n v="4741"/>
    <n v="10.5"/>
    <x v="0"/>
  </r>
  <r>
    <s v="LEAD_62"/>
    <d v="2024-06-01T00:00:00"/>
    <x v="1"/>
    <s v="Wellness_Abr"/>
    <s v="Conversão"/>
    <n v="11228"/>
    <n v="830"/>
    <n v="82"/>
    <s v="Visitante"/>
    <n v="38"/>
    <x v="0"/>
    <n v="0"/>
    <n v="0"/>
    <n v="38"/>
    <s v="F"/>
    <s v="Salvador"/>
    <n v="43"/>
    <s v="Inativo"/>
    <n v="5567"/>
    <n v="136.92682926829269"/>
    <x v="0"/>
  </r>
  <r>
    <s v="LEAD_79"/>
    <d v="2024-05-20T00:00:00"/>
    <x v="3"/>
    <s v="Wellness_Abr"/>
    <s v="Conversão"/>
    <n v="15354"/>
    <n v="4661"/>
    <n v="119"/>
    <s v="MQL"/>
    <n v="28"/>
    <x v="1"/>
    <n v="442"/>
    <n v="147.33000000000001"/>
    <n v="60"/>
    <s v="F"/>
    <s v="Belo Horizonte"/>
    <n v="46"/>
    <s v="Inativo"/>
    <n v="2454"/>
    <n v="129.0252100840336"/>
    <x v="0"/>
  </r>
  <r>
    <s v="LEAD_29"/>
    <d v="2025-02-09T00:00:00"/>
    <x v="4"/>
    <s v="Wellness_Abr"/>
    <s v="Awareness"/>
    <n v="6797"/>
    <n v="1281"/>
    <n v="154"/>
    <s v="Cliente"/>
    <n v="2"/>
    <x v="1"/>
    <n v="679"/>
    <n v="226.33"/>
    <n v="56"/>
    <s v="M"/>
    <s v="recife"/>
    <n v="52"/>
    <s v="Ativo"/>
    <n v="5141"/>
    <n v="44.136363636363633"/>
    <x v="0"/>
  </r>
  <r>
    <s v="LEAD_157"/>
    <d v="2024-02-11T00:00:00"/>
    <x v="1"/>
    <s v="Wellness_Abr"/>
    <s v="Conversão"/>
    <n v="13536"/>
    <n v="4419"/>
    <n v="210"/>
    <s v="Cliente"/>
    <n v="5"/>
    <x v="0"/>
    <n v="0"/>
    <n v="0"/>
    <n v="46"/>
    <s v="F"/>
    <s v="recife"/>
    <n v="37"/>
    <s v="Inativo"/>
    <n v="4457"/>
    <n v="64.457142857142856"/>
    <x v="0"/>
  </r>
  <r>
    <s v="LEAD_56"/>
    <d v="2025-06-15T00:00:00"/>
    <x v="1"/>
    <s v="Wellness_Abr"/>
    <s v="Awareness"/>
    <n v="15559"/>
    <n v="669"/>
    <n v="265"/>
    <s v="SQL"/>
    <n v="25"/>
    <x v="1"/>
    <n v="327"/>
    <n v="109"/>
    <n v="22"/>
    <s v="M"/>
    <s v="recife"/>
    <n v="97"/>
    <s v="Ativo"/>
    <n v="4348"/>
    <n v="58.713207547169809"/>
    <x v="0"/>
  </r>
  <r>
    <s v="LEAD_114"/>
    <d v="2024-01-26T00:00:00"/>
    <x v="0"/>
    <s v="Wellness_Abr"/>
    <s v="Lead"/>
    <n v="17284"/>
    <n v="3408"/>
    <n v="163"/>
    <s v="Oportunidade"/>
    <n v="32"/>
    <x v="0"/>
    <n v="0"/>
    <n v="0"/>
    <n v="29"/>
    <s v="M"/>
    <s v="recife"/>
    <n v="5"/>
    <s v="Inativo"/>
    <n v="5338"/>
    <n v="106.03680981595092"/>
    <x v="0"/>
  </r>
  <r>
    <s v="LEAD_107"/>
    <d v="2024-10-24T00:00:00"/>
    <x v="1"/>
    <s v="Wellness_Abr"/>
    <s v="Conversão"/>
    <n v="5375"/>
    <n v="163"/>
    <n v="64"/>
    <s v="SQL"/>
    <n v="33"/>
    <x v="0"/>
    <n v="0"/>
    <n v="0"/>
    <n v="65"/>
    <s v="F"/>
    <s v="recife"/>
    <n v="99"/>
    <s v="Inativo"/>
    <n v="3688"/>
    <n v="83.984375"/>
    <x v="0"/>
  </r>
  <r>
    <s v="LEAD_69"/>
    <d v="2024-01-31T00:00:00"/>
    <x v="0"/>
    <s v="Wellness_Abr"/>
    <s v="Tráfego"/>
    <n v="3581"/>
    <n v="2442"/>
    <n v="15"/>
    <s v="Cliente"/>
    <n v="29"/>
    <x v="0"/>
    <n v="0"/>
    <n v="0"/>
    <n v="38"/>
    <s v="F"/>
    <s v="Belo Horizonte"/>
    <n v="1"/>
    <s v="Churn"/>
    <n v="791"/>
    <n v="238.73333333333332"/>
    <x v="0"/>
  </r>
  <r>
    <s v="LEAD_3"/>
    <d v="2024-09-24T00:00:00"/>
    <x v="1"/>
    <s v="Wellness_Abr"/>
    <s v="Tráfego"/>
    <n v="6112"/>
    <n v="3933"/>
    <n v="30"/>
    <s v="Visitante"/>
    <n v="19"/>
    <x v="0"/>
    <n v="0"/>
    <n v="0"/>
    <n v="28"/>
    <s v="F"/>
    <s v="Salvador"/>
    <n v="21"/>
    <s v="Ativo"/>
    <n v="4722"/>
    <n v="203.73333333333332"/>
    <x v="0"/>
  </r>
  <r>
    <s v="LEAD_141"/>
    <d v="2024-11-21T00:00:00"/>
    <x v="3"/>
    <s v="Wellness_Abr"/>
    <s v="Awareness"/>
    <n v="18983"/>
    <n v="1800"/>
    <n v="161"/>
    <s v="Oportunidade"/>
    <n v="8"/>
    <x v="1"/>
    <n v="341"/>
    <n v="170.5"/>
    <n v="62"/>
    <s v="M"/>
    <s v="recife"/>
    <n v="26"/>
    <s v="Inativo"/>
    <n v="1057"/>
    <n v="117.90683229813665"/>
    <x v="0"/>
  </r>
  <r>
    <s v="LEAD_52"/>
    <d v="2024-02-19T00:00:00"/>
    <x v="2"/>
    <s v="Wellness_Abr"/>
    <s v="Awareness"/>
    <n v="14533"/>
    <n v="2919"/>
    <n v="200"/>
    <s v="Cliente"/>
    <n v="7"/>
    <x v="0"/>
    <n v="0"/>
    <n v="0"/>
    <n v="40"/>
    <s v="M"/>
    <s v="São Paulo"/>
    <n v="87"/>
    <s v="Inativo"/>
    <n v="2102"/>
    <n v="72.665000000000006"/>
    <x v="0"/>
  </r>
  <r>
    <s v="LEAD_101"/>
    <d v="2024-10-13T00:00:00"/>
    <x v="1"/>
    <s v="Wellness_Abr"/>
    <s v="Lead"/>
    <n v="18678"/>
    <n v="533"/>
    <n v="170"/>
    <s v="Visitante"/>
    <n v="40"/>
    <x v="0"/>
    <n v="0"/>
    <n v="0"/>
    <n v="40"/>
    <s v="M"/>
    <s v="recife"/>
    <n v="43"/>
    <s v="Ativo"/>
    <n v="801"/>
    <n v="109.87058823529412"/>
    <x v="0"/>
  </r>
  <r>
    <s v="LEAD_141"/>
    <d v="2025-01-20T00:00:00"/>
    <x v="3"/>
    <s v="Wellness_Abr"/>
    <s v="Tráfego"/>
    <n v="4675"/>
    <n v="1049"/>
    <n v="243"/>
    <s v="SQL"/>
    <n v="6"/>
    <x v="1"/>
    <n v="610"/>
    <n v="203.33"/>
    <n v="40"/>
    <s v="M"/>
    <s v="Belo Horizonte"/>
    <n v="41"/>
    <s v="Inativo"/>
    <n v="2590"/>
    <n v="19.238683127572017"/>
    <x v="0"/>
  </r>
  <r>
    <s v="LEAD_57"/>
    <d v="2024-06-04T00:00:00"/>
    <x v="2"/>
    <s v="Wellness_Abr"/>
    <s v="Conversão"/>
    <n v="10349"/>
    <n v="2013"/>
    <n v="234"/>
    <s v="MQL"/>
    <n v="17"/>
    <x v="0"/>
    <n v="0"/>
    <n v="0"/>
    <n v="44"/>
    <s v="F"/>
    <s v="recife"/>
    <n v="98"/>
    <s v="Churn"/>
    <n v="2091"/>
    <n v="44.226495726495727"/>
    <x v="0"/>
  </r>
  <r>
    <s v="LEAD_83"/>
    <d v="2024-05-09T00:00:00"/>
    <x v="3"/>
    <s v="Wellness_Abr"/>
    <s v="Conversão"/>
    <n v="6322"/>
    <n v="1211"/>
    <n v="279"/>
    <s v="MQL"/>
    <n v="8"/>
    <x v="0"/>
    <n v="0"/>
    <n v="0"/>
    <n v="20"/>
    <s v="M"/>
    <s v="recife"/>
    <n v="89"/>
    <s v="Ativo"/>
    <n v="1863"/>
    <n v="22.659498207885303"/>
    <x v="0"/>
  </r>
  <r>
    <s v="LEAD_100"/>
    <d v="2024-12-26T00:00:00"/>
    <x v="2"/>
    <s v="Wellness_Abr"/>
    <s v="Lead"/>
    <n v="1694"/>
    <n v="313"/>
    <n v="269"/>
    <s v="Oportunidade"/>
    <n v="34"/>
    <x v="1"/>
    <n v="835"/>
    <n v="835"/>
    <n v="40"/>
    <s v="M"/>
    <s v="recife"/>
    <n v="65"/>
    <s v="Inativo"/>
    <n v="4181"/>
    <n v="6.2973977695167287"/>
    <x v="0"/>
  </r>
  <r>
    <s v="LEAD_152"/>
    <d v="2024-09-19T00:00:00"/>
    <x v="1"/>
    <s v="Wellness_Abr"/>
    <s v="Awareness"/>
    <n v="11053"/>
    <n v="633"/>
    <n v="184"/>
    <s v="Visitante"/>
    <n v="17"/>
    <x v="0"/>
    <n v="0"/>
    <n v="0"/>
    <n v="40"/>
    <s v="M"/>
    <s v="Belo Horizonte"/>
    <n v="66"/>
    <s v="Ativo"/>
    <n v="4887"/>
    <n v="60.070652173913047"/>
    <x v="0"/>
  </r>
  <r>
    <s v="LEAD_38"/>
    <d v="2025-02-17T00:00:00"/>
    <x v="4"/>
    <s v="Wellness_Abr"/>
    <s v="Lead"/>
    <n v="10214"/>
    <n v="4362"/>
    <n v="76"/>
    <s v="Visitante"/>
    <n v="6"/>
    <x v="0"/>
    <n v="0"/>
    <n v="0"/>
    <n v="30"/>
    <s v="M"/>
    <s v="recife"/>
    <n v="35"/>
    <s v="Ativo"/>
    <n v="5658"/>
    <n v="134.39473684210526"/>
    <x v="0"/>
  </r>
  <r>
    <s v="LEAD_5"/>
    <d v="2024-05-30T00:00:00"/>
    <x v="1"/>
    <s v="Wellness_Abr"/>
    <s v="Tráfego"/>
    <n v="6600"/>
    <n v="3948"/>
    <n v="214"/>
    <s v="Cliente"/>
    <n v="29"/>
    <x v="0"/>
    <n v="0"/>
    <n v="0"/>
    <n v="38"/>
    <s v="F"/>
    <s v="Belo Horizonte"/>
    <n v="44"/>
    <s v="Churn"/>
    <n v="4874"/>
    <n v="30.841121495327101"/>
    <x v="0"/>
  </r>
  <r>
    <s v="LEAD_126"/>
    <d v="2024-12-19T00:00:00"/>
    <x v="1"/>
    <s v="Wellness_Abr"/>
    <s v="Lead"/>
    <n v="9368"/>
    <n v="2807"/>
    <n v="273"/>
    <s v="Lead"/>
    <n v="23"/>
    <x v="0"/>
    <n v="0"/>
    <n v="0"/>
    <n v="56"/>
    <s v="F"/>
    <s v="São Paulo"/>
    <n v="11"/>
    <s v="Churn"/>
    <n v="3741"/>
    <n v="34.315018315018314"/>
    <x v="0"/>
  </r>
  <r>
    <s v="LEAD_116"/>
    <d v="2024-02-16T00:00:00"/>
    <x v="4"/>
    <s v="Wellness_Abr"/>
    <s v="Awareness"/>
    <n v="15068"/>
    <n v="1662"/>
    <n v="118"/>
    <s v="Cliente"/>
    <n v="28"/>
    <x v="1"/>
    <n v="450"/>
    <n v="150"/>
    <n v="55"/>
    <s v="M"/>
    <s v="São Paulo"/>
    <n v="22"/>
    <s v="Inativo"/>
    <n v="605"/>
    <n v="127.69491525423729"/>
    <x v="0"/>
  </r>
  <r>
    <s v="LEAD_20"/>
    <d v="2024-08-04T00:00:00"/>
    <x v="0"/>
    <s v="Wellness_Abr"/>
    <s v="Conversão"/>
    <n v="9794"/>
    <n v="1049"/>
    <n v="135"/>
    <s v="Lead"/>
    <n v="17"/>
    <x v="0"/>
    <n v="0"/>
    <n v="0"/>
    <n v="40"/>
    <s v="M"/>
    <s v="Salvador"/>
    <n v="69"/>
    <s v="Inativo"/>
    <n v="1847"/>
    <n v="72.548148148148144"/>
    <x v="0"/>
  </r>
  <r>
    <s v="LEAD_64"/>
    <d v="2024-12-17T00:00:00"/>
    <x v="0"/>
    <s v="Wellness_Abr"/>
    <s v="Lead"/>
    <n v="19065"/>
    <n v="2467"/>
    <n v="132"/>
    <s v="MQL"/>
    <n v="28"/>
    <x v="1"/>
    <n v="867"/>
    <n v="289"/>
    <n v="40"/>
    <s v="M"/>
    <s v="São Paulo"/>
    <n v="84"/>
    <s v="Inativo"/>
    <n v="733"/>
    <n v="144.43181818181819"/>
    <x v="0"/>
  </r>
  <r>
    <s v="LEAD_57"/>
    <d v="2024-11-20T00:00:00"/>
    <x v="0"/>
    <s v="Wellness_Abr"/>
    <s v="Awareness"/>
    <n v="10338"/>
    <n v="2094"/>
    <n v="78"/>
    <s v="Oportunidade"/>
    <n v="25"/>
    <x v="1"/>
    <n v="821"/>
    <n v="273.67"/>
    <n v="33"/>
    <s v="M"/>
    <s v="São Paulo"/>
    <n v="47"/>
    <s v="Inativo"/>
    <n v="727"/>
    <n v="132.53846153846155"/>
    <x v="0"/>
  </r>
  <r>
    <s v="LEAD_116"/>
    <d v="2025-04-14T00:00:00"/>
    <x v="0"/>
    <s v="Wellness_Abr"/>
    <s v="Awareness"/>
    <n v="6081"/>
    <n v="569"/>
    <n v="44"/>
    <s v="MQL"/>
    <n v="24"/>
    <x v="0"/>
    <n v="0"/>
    <n v="0"/>
    <n v="52"/>
    <s v="F"/>
    <s v="São Paulo"/>
    <n v="51"/>
    <s v="Inativo"/>
    <n v="5851"/>
    <n v="138.20454545454547"/>
    <x v="0"/>
  </r>
  <r>
    <s v="LEAD_61"/>
    <d v="2024-08-27T00:00:00"/>
    <x v="0"/>
    <s v="Wellness_Abr"/>
    <s v="Tráfego"/>
    <n v="4750"/>
    <n v="1237"/>
    <n v="180"/>
    <s v="Oportunidade"/>
    <n v="30"/>
    <x v="1"/>
    <n v="216"/>
    <n v="72"/>
    <n v="40"/>
    <s v="M"/>
    <s v="São Paulo"/>
    <n v="31"/>
    <s v="Inativo"/>
    <n v="5005"/>
    <n v="26.388888888888889"/>
    <x v="0"/>
  </r>
  <r>
    <s v="LEAD_134"/>
    <d v="2024-05-11T00:00:00"/>
    <x v="2"/>
    <s v="Wellness_Abr"/>
    <s v="Awareness"/>
    <n v="12015"/>
    <n v="337"/>
    <n v="11"/>
    <s v="Oportunidade"/>
    <n v="21"/>
    <x v="1"/>
    <n v="499"/>
    <n v="499"/>
    <n v="40"/>
    <s v="M"/>
    <s v="Salvador"/>
    <n v="95"/>
    <s v="Inativo"/>
    <n v="5792"/>
    <n v="1092.272727272727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156E9-D8B5-49A9-BC76-0681B1C94894}" name="Tabela dinâmica19" cacheId="18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6" rowHeaderCaption="Faixa Etária" colHeaderCaption="Situação Cliente">
  <location ref="A23:B30" firstHeaderRow="1" firstDataRow="1" firstDataCol="1"/>
  <pivotFields count="2">
    <pivotField axis="axisRow" allDrilled="1" subtotalTop="0" showAll="0" defaultSubtotal="0" defaultAttributeDrillState="1">
      <items count="6">
        <item x="5"/>
        <item x="1"/>
        <item x="2"/>
        <item x="4"/>
        <item x="3"/>
        <item x="0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Qtd Leads" fld="1" subtotal="count" baseField="0" baseItem="0" numFmtId="1"/>
  </dataFields>
  <formats count="1">
    <format dxfId="3">
      <pivotArea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LTV por Faixa Etária"/>
    <pivotHierarchy dragToData="1"/>
    <pivotHierarchy dragToData="1" caption="Contagem de CAC"/>
    <pivotHierarchy dragToData="1" caption="Ticket Médio"/>
    <pivotHierarchy dragToData="1" caption="Qtd Leads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 REal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38228-F855-4291-8FC7-81071867F92B}" name="Tabela dinâmica18" cacheId="14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rowHeaderCaption="Faixa Etária" colHeaderCaption="Situação Cliente">
  <location ref="A17:B21" firstHeaderRow="1" firstDataRow="1" firstDataCol="1"/>
  <pivotFields count="2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icket Médio" fld="1" baseField="0" baseItem="0" numFmtId="44"/>
  </dataFields>
  <formats count="1">
    <format dxfId="2">
      <pivotArea outline="0" collapsedLevelsAreSubtotals="1" fieldPosition="0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LTV por Faixa Etária"/>
    <pivotHierarchy dragToData="1"/>
    <pivotHierarchy dragToData="1" caption="Contagem de CAC"/>
    <pivotHierarchy dragToData="1" caption="Ticket Médio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 REal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0ACA1-3A4C-428A-949B-E078F287A69E}" name="Tabela dinâmica11" cacheId="18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6" rowHeaderCaption="Faixa Etária" colHeaderCaption="Situação Cliente">
  <location ref="A10:E15" firstHeaderRow="1" firstDataRow="2" firstDataCol="1"/>
  <pivotFields count="3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2"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ntagem de CAC" fld="2" subtotal="count" baseField="0" baseItem="0" numFmtId="1"/>
  </dataFields>
  <formats count="1">
    <format dxfId="1">
      <pivotArea outline="0" collapsedLevelsAreSubtotals="1" fieldPosition="0"/>
    </format>
  </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LTV por Faixa Etária"/>
    <pivotHierarchy dragToData="1"/>
    <pivotHierarchy dragToData="1" caption="Contagem de CAC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álises de Faixa Etária!$A$11:$C$14">
        <x15:activeTabTopLevelEntity name="[Tabela1]"/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0A990-D1FB-4A19-AFD5-1A43E27C35FE}" name="Tabela dinâmica10" cacheId="22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rowHeaderCaption="Faixa Etária" colHeaderCaption="Situação Cliente">
  <location ref="A3:E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LTV por Faixa Etária" fld="1" baseField="0" baseItem="0" numFmtId="166"/>
  </dataFields>
  <formats count="1">
    <format dxfId="0">
      <pivotArea outline="0" collapsedLevelsAreSubtotals="1" fieldPosition="0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LTV por Faixa Etária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 REal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811C6-B6F9-46D7-8365-7B02AA45AF20}" name="Tabela dinâmica16" cacheId="10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nal Aquisição" colHeaderCaption="Converteu Cliente?">
  <location ref="A11:D18" firstHeaderRow="1" firstDataRow="2" firstDataCol="1"/>
  <pivotFields count="21">
    <pivotField showAll="0"/>
    <pivotField numFmtId="164"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6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LTV Gerado por Canal" fld="18" baseField="0" baseItem="0"/>
  </dataFields>
  <formats count="1">
    <format dxfId="4">
      <pivotArea outline="0" collapsedLevelsAreSubtotals="1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22747-4BA4-4391-8D3F-72853DF5CC85}" name="Tabela dinâmica2" cacheId="10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nal Aquisição" colHeaderCaption="Converteu Cliente?">
  <location ref="F1:I8" firstHeaderRow="1" firstDataRow="2" firstDataCol="1"/>
  <pivotFields count="21">
    <pivotField dataField="1" showAll="0"/>
    <pivotField numFmtId="164"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Número de Clientes" fld="0" subtotal="count" baseField="0" baseItem="0"/>
  </dataField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5D530-40BF-4017-96EB-22D26AD3F3AA}" name="Tabela dinâmica1" cacheId="10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nal Aquisição" colHeaderCaption="Converteu Cliente?">
  <location ref="A1:D8" firstHeaderRow="1" firstDataRow="2" firstDataCol="1"/>
  <pivotFields count="21">
    <pivotField showAll="0"/>
    <pivotField numFmtId="164"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Investimento Realizado" fld="5" baseField="0" baseItem="0" numFmtId="166"/>
  </dataFields>
  <formats count="1">
    <format dxfId="40">
      <pivotArea outline="0" collapsedLevelsAreSubtotals="1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300635-7CAC-4DDC-B4BC-8BC49FFBA201}" name="Tabela8" displayName="Tabela8" ref="A1:B4" totalsRowShown="0">
  <autoFilter ref="A1:B4" xr:uid="{AB300635-7CAC-4DDC-B4BC-8BC49FFBA201}"/>
  <tableColumns count="2">
    <tableColumn id="1" xr3:uid="{6A183116-9740-4E37-8C30-D7C5973B1D69}" name="Situação"/>
    <tableColumn id="2" xr3:uid="{7E72203A-5CC3-4D1D-881D-374D9E6B52E8}" name="Resolução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3DB34-3399-4DC2-A4A6-A92D156853D7}" name="Tabela1" displayName="Tabela1" ref="A1:AD181" totalsRowShown="0" headerRowDxfId="35" dataDxfId="34">
  <autoFilter ref="A1:AD181" xr:uid="{A1BE7139-3E03-4C45-8690-143B9CCE0B15}"/>
  <sortState xmlns:xlrd2="http://schemas.microsoft.com/office/spreadsheetml/2017/richdata2" ref="A2:U181">
    <sortCondition ref="D2:D181" customList="Wellness_Jan,Wellness_Fev,Wellness_Mar,Wellness_Abr"/>
  </sortState>
  <tableColumns count="30">
    <tableColumn id="1" xr3:uid="{BFD001EF-1C8F-4D65-96F7-1C0E23EC21C5}" name="id_lead" dataDxfId="33"/>
    <tableColumn id="2" xr3:uid="{EA7104D8-83F3-4FEF-B87E-F1A8510982EF}" name="data_interacao" dataDxfId="32"/>
    <tableColumn id="3" xr3:uid="{D4496C49-8BBA-4071-8E66-924E46C1132B}" name="canal_aquisicao" dataDxfId="31"/>
    <tableColumn id="4" xr3:uid="{F1722356-A415-4D86-B194-70709FFB01CC}" name="campanha" dataDxfId="30"/>
    <tableColumn id="5" xr3:uid="{EC696BC3-F5AF-4603-A6F1-4F0FA74BF442}" name="objetivo_campanha" dataDxfId="29"/>
    <tableColumn id="6" xr3:uid="{1097D605-3B3D-4FF0-93EA-D5C071AED45B}" name="investimento" dataDxfId="28"/>
    <tableColumn id="7" xr3:uid="{4E7A0AA3-1B3A-4DA6-A6F6-905374EC3558}" name="visitantes" dataDxfId="27"/>
    <tableColumn id="8" xr3:uid="{57C78AFE-AEC1-4AED-B2CF-4AE24BABD447}" name="leads_gerados" dataDxfId="26"/>
    <tableColumn id="9" xr3:uid="{F0FE855F-F19D-42CB-BB80-66C5C0048D9F}" name="etapa_funil" dataDxfId="25"/>
    <tableColumn id="10" xr3:uid="{6B2DDCA4-A42C-408F-9824-48F524C35397}" name="tempo_etapa_dias" dataDxfId="24"/>
    <tableColumn id="11" xr3:uid="{C11A8CF4-9993-474C-9EEA-A68998CCA9EC}" name="converteu_cliente" dataDxfId="23"/>
    <tableColumn id="12" xr3:uid="{E153D6E2-0153-418B-B9C1-85DB8F0C358B}" name="valor_venda" dataDxfId="22"/>
    <tableColumn id="13" xr3:uid="{92BB1E53-C263-4D9F-AE2C-B3F1288B8422}" name="ticket_medio" dataDxfId="21"/>
    <tableColumn id="14" xr3:uid="{8D8BD12A-B2EB-422B-B9E0-E2143A9AA153}" name="idade"/>
    <tableColumn id="15" xr3:uid="{BAD58CEC-89D4-4515-AFC2-D52C9E081707}" name="genero" dataDxfId="20"/>
    <tableColumn id="16" xr3:uid="{68C0DC3E-6B99-4C70-8926-6898F9C59809}" name="cidade" dataDxfId="19"/>
    <tableColumn id="17" xr3:uid="{91332DE5-CAB9-4D0A-A46B-80C0E996355A}" name="engajamento_score" dataDxfId="18"/>
    <tableColumn id="18" xr3:uid="{99FF8AF7-55FF-46DD-9D31-8061E50F7B2E}" name="status_cliente" dataDxfId="17"/>
    <tableColumn id="19" xr3:uid="{A8D97738-A0EF-4DAB-8A4D-ADEAEF7B3B9D}" name="ltv_estimado" dataDxfId="16"/>
    <tableColumn id="20" xr3:uid="{1C9D30CD-C2F9-4E6F-A0D4-E594433D2627}" name="CPL" dataDxfId="15">
      <calculatedColumnFormula>Tabela1[[#This Row],[investimento]]/Tabela1[[#This Row],[leads_gerados]]</calculatedColumnFormula>
    </tableColumn>
    <tableColumn id="21" xr3:uid="{42E516C5-0850-4CA8-A919-9F2E782F1B6F}" name="CAC" dataDxfId="14">
      <calculatedColumnFormula>VLOOKUP(Tabela1[[#This Row],[canal_aquisicao]],Tabela2[#All],2,0)</calculatedColumnFormula>
    </tableColumn>
    <tableColumn id="22" xr3:uid="{59FE6117-3A36-48F3-BD3D-3DDDDECCC718}" name="lead_qualificado" dataDxfId="13">
      <calculatedColumnFormula>IF(Q2&gt;=70,"Qualificado","Não Qualificado")</calculatedColumnFormula>
    </tableColumn>
    <tableColumn id="23" xr3:uid="{259201AB-C6BE-4909-B499-75BC4458516D}" name="canal_tipo" dataDxfId="12">
      <calculatedColumnFormula>VLOOKUP(C2,Tabela5[#All],2,0)</calculatedColumnFormula>
    </tableColumn>
    <tableColumn id="24" xr3:uid="{2DCF251C-38D1-449F-AFB9-C58F838D15B0}" name="nivel_engajamento" dataDxfId="11">
      <calculatedColumnFormula>IF(Q2&gt;=70, "Alto", IF(Q2&gt;=40, "Médio", "Baixo"))</calculatedColumnFormula>
    </tableColumn>
    <tableColumn id="25" xr3:uid="{16EE7F9D-D47D-4838-886C-29A69A96ACBD}" name="ticket_categoria" dataDxfId="10">
      <calculatedColumnFormula>IF(M2=0, "Sem Compra", IF(M2&gt;=400, "Alto", IF(M2&gt;=150, "Médio", "Baixo")))</calculatedColumnFormula>
    </tableColumn>
    <tableColumn id="27" xr3:uid="{0DADF16F-F72E-4651-9BF9-1329EBD89325}" name="faixa_etaria" dataDxfId="9">
      <calculatedColumnFormula>IF(N2&gt;=18,IF(N2&lt;=25,"Jovem",IF(N2&lt;=40,"Adulto","Sênior")),"")</calculatedColumnFormula>
    </tableColumn>
    <tableColumn id="28" xr3:uid="{EB968214-8BDA-454F-9673-2AFE23C7E4FC}" name="outlier_investimento" dataDxfId="8">
      <calculatedColumnFormula>IF($AG$10&gt;=Tabela1[[#This Row],[investimento]]&gt;=$AG$11,"OK","Outlier")</calculatedColumnFormula>
    </tableColumn>
    <tableColumn id="29" xr3:uid="{F79016E5-4F97-427C-9EFC-0A69C4E97D8E}" name="outlier_visitantes" dataDxfId="7">
      <calculatedColumnFormula>IF($AG$17&gt;=Tabela1[[#This Row],[visitantes]]&gt;=$AG$18,"OK","Outlier")</calculatedColumnFormula>
    </tableColumn>
    <tableColumn id="30" xr3:uid="{684F50A2-07D7-4ABC-8903-B806A2C1A895}" name="outlier_leads_gerados" dataDxfId="6">
      <calculatedColumnFormula>IF($AG$24&gt;=Tabela1[[#This Row],[leads_gerados]]&gt;=$AG$25,"OK","Outlier")</calculatedColumnFormula>
    </tableColumn>
    <tableColumn id="31" xr3:uid="{BC811DAA-DA9C-4ABA-A605-5302156ED64A}" name="outlier_ltv" dataDxfId="5">
      <calculatedColumnFormula>IF($AG$31&gt;=Tabela1[[#This Row],[ltv_estimado]]&gt;=$AG$32,"OK","Outlier")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3BAD4B-2334-4AED-A29B-7ACE5F2BE41D}" name="Tabela2" displayName="Tabela2" ref="L2:M7" totalsRowShown="0">
  <autoFilter ref="L2:M7" xr:uid="{7A3BAD4B-2334-4AED-A29B-7ACE5F2BE41D}"/>
  <tableColumns count="2">
    <tableColumn id="1" xr3:uid="{F24FA546-8596-4804-9BE0-FB83F42E77E5}" name="Canal Aquisição"/>
    <tableColumn id="2" xr3:uid="{28A28C66-83E1-43D2-8A56-2534062C2A24}" name="CAC" dataDxfId="39">
      <calculatedColumnFormula>D3/H3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784624-A1E9-499C-A66A-9CEBC540AED9}" name="Tabela5" displayName="Tabela5" ref="L10:M15" totalsRowShown="0" dataDxfId="36">
  <autoFilter ref="L10:M15" xr:uid="{FE784624-A1E9-499C-A66A-9CEBC540AED9}"/>
  <tableColumns count="2">
    <tableColumn id="1" xr3:uid="{5D6316BD-262D-4E39-A9AF-6F3F60A40CB3}" name="Canal Aquisição" dataDxfId="38"/>
    <tableColumn id="2" xr3:uid="{9D8BFBD1-7142-49EB-9054-3BE39CA8C803}" name="CAC" dataDxfId="37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E28D-8897-4A19-B5EF-CF028B9B2882}">
  <dimension ref="A1:W1000"/>
  <sheetViews>
    <sheetView zoomScaleNormal="100" workbookViewId="0">
      <selection activeCell="W7" sqref="W7"/>
    </sheetView>
  </sheetViews>
  <sheetFormatPr defaultColWidth="14.42578125" defaultRowHeight="15" x14ac:dyDescent="0.25"/>
  <cols>
    <col min="1" max="1" width="9.7109375" customWidth="1"/>
    <col min="2" max="2" width="13.85546875" customWidth="1"/>
    <col min="3" max="3" width="14.5703125" customWidth="1"/>
    <col min="4" max="4" width="13.28515625" customWidth="1"/>
    <col min="5" max="5" width="18" customWidth="1"/>
    <col min="6" max="6" width="12.140625" customWidth="1"/>
    <col min="7" max="7" width="9.140625" customWidth="1"/>
    <col min="8" max="8" width="13.28515625" customWidth="1"/>
    <col min="9" max="9" width="13" customWidth="1"/>
    <col min="10" max="10" width="17" customWidth="1"/>
    <col min="11" max="11" width="16.42578125" customWidth="1"/>
    <col min="12" max="12" width="11.5703125" customWidth="1"/>
    <col min="13" max="13" width="12.28515625" customWidth="1"/>
    <col min="14" max="14" width="5.85546875" customWidth="1"/>
    <col min="15" max="15" width="7.140625" customWidth="1"/>
    <col min="16" max="16" width="13.7109375" customWidth="1"/>
    <col min="17" max="17" width="6.85546875" customWidth="1"/>
    <col min="18" max="18" width="17.85546875" customWidth="1"/>
    <col min="19" max="19" width="12.85546875" customWidth="1"/>
    <col min="20" max="20" width="12.140625" customWidth="1"/>
    <col min="21" max="21" width="8.7109375" customWidth="1"/>
    <col min="22" max="22" width="13.42578125" bestFit="1" customWidth="1"/>
    <col min="23" max="26" width="8.71093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3" x14ac:dyDescent="0.25">
      <c r="A2" s="1" t="s">
        <v>20</v>
      </c>
      <c r="B2" s="2">
        <v>45464</v>
      </c>
      <c r="C2" s="1" t="s">
        <v>21</v>
      </c>
      <c r="D2" s="1" t="s">
        <v>22</v>
      </c>
      <c r="E2" s="1" t="s">
        <v>23</v>
      </c>
      <c r="F2" s="1">
        <v>6019</v>
      </c>
      <c r="G2" s="1">
        <v>2084</v>
      </c>
      <c r="H2" s="1">
        <v>242</v>
      </c>
      <c r="I2" s="1" t="s">
        <v>24</v>
      </c>
      <c r="J2" s="1">
        <v>26</v>
      </c>
      <c r="K2" s="1" t="s">
        <v>25</v>
      </c>
      <c r="L2" s="1">
        <v>0</v>
      </c>
      <c r="M2" s="1">
        <v>0</v>
      </c>
      <c r="O2" s="1" t="s">
        <v>26</v>
      </c>
      <c r="P2" s="1" t="s">
        <v>27</v>
      </c>
      <c r="Q2" s="1" t="s">
        <v>28</v>
      </c>
      <c r="R2" s="1">
        <v>35</v>
      </c>
      <c r="S2" s="1" t="s">
        <v>29</v>
      </c>
      <c r="T2" s="1">
        <v>3406</v>
      </c>
      <c r="V2" t="s">
        <v>165</v>
      </c>
      <c r="W2">
        <f>COUNTBLANK(A1:T181)</f>
        <v>86</v>
      </c>
    </row>
    <row r="3" spans="1:23" x14ac:dyDescent="0.25">
      <c r="A3" s="1" t="s">
        <v>30</v>
      </c>
      <c r="B3" s="2">
        <v>45499</v>
      </c>
      <c r="C3" s="1" t="s">
        <v>31</v>
      </c>
      <c r="D3" s="1" t="s">
        <v>32</v>
      </c>
      <c r="E3" s="1" t="s">
        <v>33</v>
      </c>
      <c r="F3" s="1">
        <v>6659</v>
      </c>
      <c r="G3" s="1">
        <v>3315</v>
      </c>
      <c r="H3" s="1">
        <v>211</v>
      </c>
      <c r="I3" s="1" t="s">
        <v>34</v>
      </c>
      <c r="J3" s="1">
        <v>3</v>
      </c>
      <c r="K3" s="1" t="s">
        <v>25</v>
      </c>
      <c r="L3" s="1">
        <v>0</v>
      </c>
      <c r="M3" s="1">
        <v>0</v>
      </c>
      <c r="O3" s="1" t="s">
        <v>26</v>
      </c>
      <c r="P3" s="1" t="s">
        <v>35</v>
      </c>
      <c r="Q3" s="1" t="s">
        <v>36</v>
      </c>
      <c r="R3" s="1">
        <v>2</v>
      </c>
      <c r="S3" s="1" t="s">
        <v>37</v>
      </c>
      <c r="T3" s="1">
        <v>2742</v>
      </c>
      <c r="V3" t="s">
        <v>166</v>
      </c>
      <c r="W3" s="4">
        <f>COUNTA(A1:T181)</f>
        <v>3534</v>
      </c>
    </row>
    <row r="4" spans="1:23" x14ac:dyDescent="0.25">
      <c r="A4" s="1" t="s">
        <v>38</v>
      </c>
      <c r="B4" s="2">
        <v>45654</v>
      </c>
      <c r="C4" s="1" t="s">
        <v>39</v>
      </c>
      <c r="D4" s="1" t="s">
        <v>32</v>
      </c>
      <c r="E4" s="1" t="s">
        <v>23</v>
      </c>
      <c r="F4" s="1">
        <v>7830</v>
      </c>
      <c r="G4" s="1">
        <v>915</v>
      </c>
      <c r="H4" s="1">
        <v>106</v>
      </c>
      <c r="I4" s="1" t="s">
        <v>40</v>
      </c>
      <c r="J4" s="1">
        <v>25</v>
      </c>
      <c r="K4" s="1" t="s">
        <v>41</v>
      </c>
      <c r="L4" s="1">
        <v>731</v>
      </c>
      <c r="M4" s="1">
        <v>731</v>
      </c>
      <c r="N4" s="1">
        <v>48</v>
      </c>
      <c r="O4" s="1" t="s">
        <v>42</v>
      </c>
      <c r="P4" s="1" t="s">
        <v>35</v>
      </c>
      <c r="Q4" s="1" t="s">
        <v>43</v>
      </c>
      <c r="R4" s="1">
        <v>64</v>
      </c>
      <c r="S4" s="1" t="s">
        <v>29</v>
      </c>
      <c r="T4" s="1">
        <v>4241</v>
      </c>
    </row>
    <row r="5" spans="1:23" x14ac:dyDescent="0.25">
      <c r="A5" s="1" t="s">
        <v>44</v>
      </c>
      <c r="B5" s="2">
        <v>45394</v>
      </c>
      <c r="C5" s="1" t="s">
        <v>39</v>
      </c>
      <c r="D5" s="1" t="s">
        <v>45</v>
      </c>
      <c r="E5" s="1" t="s">
        <v>33</v>
      </c>
      <c r="F5" s="1">
        <v>8957</v>
      </c>
      <c r="G5" s="1">
        <v>4236</v>
      </c>
      <c r="H5" s="1">
        <v>220</v>
      </c>
      <c r="I5" s="1" t="s">
        <v>34</v>
      </c>
      <c r="J5" s="1">
        <v>3</v>
      </c>
      <c r="K5" s="1" t="s">
        <v>41</v>
      </c>
      <c r="L5" s="1">
        <v>633</v>
      </c>
      <c r="M5" s="1">
        <v>211</v>
      </c>
      <c r="N5" s="1">
        <v>38</v>
      </c>
      <c r="O5" s="1" t="s">
        <v>42</v>
      </c>
      <c r="P5" s="1" t="s">
        <v>46</v>
      </c>
      <c r="Q5" s="1" t="s">
        <v>36</v>
      </c>
      <c r="R5" s="1">
        <v>92</v>
      </c>
      <c r="S5" s="1" t="s">
        <v>47</v>
      </c>
      <c r="T5" s="1">
        <v>1741</v>
      </c>
    </row>
    <row r="6" spans="1:23" x14ac:dyDescent="0.25">
      <c r="A6" s="1" t="s">
        <v>48</v>
      </c>
      <c r="B6" s="2">
        <v>45602</v>
      </c>
      <c r="C6" s="1" t="s">
        <v>21</v>
      </c>
      <c r="D6" s="1" t="s">
        <v>49</v>
      </c>
      <c r="E6" s="1" t="s">
        <v>50</v>
      </c>
      <c r="F6" s="1">
        <v>16128</v>
      </c>
      <c r="G6" s="1">
        <v>3566</v>
      </c>
      <c r="H6" s="1">
        <v>154</v>
      </c>
      <c r="I6" s="1" t="s">
        <v>24</v>
      </c>
      <c r="J6" s="1">
        <v>20</v>
      </c>
      <c r="K6" s="1" t="s">
        <v>25</v>
      </c>
      <c r="L6" s="1">
        <v>0</v>
      </c>
      <c r="M6" s="1">
        <v>0</v>
      </c>
      <c r="N6" s="1">
        <v>22</v>
      </c>
      <c r="O6" s="1" t="s">
        <v>42</v>
      </c>
      <c r="P6" s="1" t="s">
        <v>51</v>
      </c>
      <c r="Q6" s="1" t="s">
        <v>52</v>
      </c>
      <c r="R6" s="1">
        <v>27</v>
      </c>
      <c r="S6" s="1" t="s">
        <v>29</v>
      </c>
      <c r="T6" s="1">
        <v>2885</v>
      </c>
    </row>
    <row r="7" spans="1:23" x14ac:dyDescent="0.25">
      <c r="A7" s="1" t="s">
        <v>53</v>
      </c>
      <c r="B7" s="2">
        <v>45480</v>
      </c>
      <c r="C7" s="1" t="s">
        <v>54</v>
      </c>
      <c r="D7" s="1" t="s">
        <v>32</v>
      </c>
      <c r="E7" s="1" t="s">
        <v>33</v>
      </c>
      <c r="F7" s="1">
        <v>2997</v>
      </c>
      <c r="G7" s="1">
        <v>4215</v>
      </c>
      <c r="H7" s="1">
        <v>280</v>
      </c>
      <c r="I7" s="1" t="s">
        <v>55</v>
      </c>
      <c r="J7" s="1">
        <v>33</v>
      </c>
      <c r="K7" s="1" t="s">
        <v>25</v>
      </c>
      <c r="L7" s="1">
        <v>0</v>
      </c>
      <c r="M7" s="1">
        <v>0</v>
      </c>
      <c r="O7" s="1" t="s">
        <v>26</v>
      </c>
      <c r="P7" s="1" t="s">
        <v>46</v>
      </c>
      <c r="Q7" s="1" t="s">
        <v>43</v>
      </c>
      <c r="R7" s="1">
        <v>88</v>
      </c>
      <c r="S7" s="1" t="s">
        <v>47</v>
      </c>
      <c r="T7" s="1">
        <v>4905</v>
      </c>
    </row>
    <row r="8" spans="1:23" x14ac:dyDescent="0.25">
      <c r="A8" s="1" t="s">
        <v>56</v>
      </c>
      <c r="B8" s="2">
        <v>45744</v>
      </c>
      <c r="C8" s="1" t="s">
        <v>57</v>
      </c>
      <c r="D8" s="1" t="s">
        <v>32</v>
      </c>
      <c r="E8" s="1" t="s">
        <v>50</v>
      </c>
      <c r="F8" s="1">
        <v>2486</v>
      </c>
      <c r="G8" s="1">
        <v>1842</v>
      </c>
      <c r="H8" s="1">
        <v>260</v>
      </c>
      <c r="I8" s="1" t="s">
        <v>58</v>
      </c>
      <c r="J8" s="1">
        <v>32</v>
      </c>
      <c r="K8" s="1" t="s">
        <v>41</v>
      </c>
      <c r="L8" s="1">
        <v>746</v>
      </c>
      <c r="M8" s="1">
        <v>746</v>
      </c>
      <c r="O8" s="1" t="s">
        <v>42</v>
      </c>
      <c r="P8" s="1" t="s">
        <v>59</v>
      </c>
      <c r="Q8" s="1" t="s">
        <v>43</v>
      </c>
      <c r="R8" s="1">
        <v>33</v>
      </c>
      <c r="S8" s="1" t="s">
        <v>37</v>
      </c>
      <c r="T8" s="1">
        <v>2556</v>
      </c>
    </row>
    <row r="9" spans="1:23" x14ac:dyDescent="0.25">
      <c r="A9" s="1" t="s">
        <v>60</v>
      </c>
      <c r="B9" s="2">
        <v>45674</v>
      </c>
      <c r="C9" s="1" t="s">
        <v>39</v>
      </c>
      <c r="D9" s="1" t="s">
        <v>49</v>
      </c>
      <c r="E9" s="1" t="s">
        <v>50</v>
      </c>
      <c r="F9" s="1">
        <v>7629</v>
      </c>
      <c r="G9" s="1">
        <v>1682</v>
      </c>
      <c r="H9" s="1">
        <v>230</v>
      </c>
      <c r="I9" s="1" t="s">
        <v>55</v>
      </c>
      <c r="J9" s="1">
        <v>32</v>
      </c>
      <c r="K9" s="1" t="s">
        <v>25</v>
      </c>
      <c r="L9" s="1">
        <v>0</v>
      </c>
      <c r="M9" s="1">
        <v>0</v>
      </c>
      <c r="N9" s="1">
        <v>64</v>
      </c>
      <c r="O9" s="1" t="s">
        <v>26</v>
      </c>
      <c r="P9" s="1" t="s">
        <v>27</v>
      </c>
      <c r="Q9" s="1" t="s">
        <v>36</v>
      </c>
      <c r="R9" s="1">
        <v>60</v>
      </c>
      <c r="S9" s="1" t="s">
        <v>47</v>
      </c>
      <c r="T9" s="1">
        <v>1514</v>
      </c>
    </row>
    <row r="10" spans="1:23" x14ac:dyDescent="0.25">
      <c r="A10" s="1" t="s">
        <v>61</v>
      </c>
      <c r="B10" s="2">
        <v>45568</v>
      </c>
      <c r="C10" s="1" t="s">
        <v>54</v>
      </c>
      <c r="D10" s="1" t="s">
        <v>45</v>
      </c>
      <c r="E10" s="1" t="s">
        <v>50</v>
      </c>
      <c r="F10" s="1">
        <v>4818</v>
      </c>
      <c r="G10" s="1">
        <v>4015</v>
      </c>
      <c r="H10" s="1">
        <v>21</v>
      </c>
      <c r="I10" s="1" t="s">
        <v>34</v>
      </c>
      <c r="J10" s="1">
        <v>25</v>
      </c>
      <c r="K10" s="1" t="s">
        <v>25</v>
      </c>
      <c r="L10" s="1">
        <v>0</v>
      </c>
      <c r="M10" s="1">
        <v>0</v>
      </c>
      <c r="N10" s="1">
        <v>24</v>
      </c>
      <c r="O10" s="1" t="s">
        <v>42</v>
      </c>
      <c r="P10" s="1" t="s">
        <v>35</v>
      </c>
      <c r="Q10" s="1" t="s">
        <v>52</v>
      </c>
      <c r="R10" s="1">
        <v>9</v>
      </c>
      <c r="S10" s="1" t="s">
        <v>47</v>
      </c>
      <c r="T10" s="1">
        <v>5341</v>
      </c>
    </row>
    <row r="11" spans="1:23" x14ac:dyDescent="0.25">
      <c r="A11" s="1" t="s">
        <v>62</v>
      </c>
      <c r="B11" s="2">
        <v>45784</v>
      </c>
      <c r="C11" s="1" t="s">
        <v>31</v>
      </c>
      <c r="D11" s="1" t="s">
        <v>45</v>
      </c>
      <c r="E11" s="1" t="s">
        <v>33</v>
      </c>
      <c r="F11" s="1">
        <v>11318</v>
      </c>
      <c r="G11" s="1">
        <v>3820</v>
      </c>
      <c r="H11" s="1">
        <v>229</v>
      </c>
      <c r="I11" s="1" t="s">
        <v>63</v>
      </c>
      <c r="J11" s="1">
        <v>23</v>
      </c>
      <c r="K11" s="1" t="s">
        <v>41</v>
      </c>
      <c r="L11" s="1">
        <v>819</v>
      </c>
      <c r="M11" s="1">
        <v>273</v>
      </c>
      <c r="N11" s="1">
        <v>20</v>
      </c>
      <c r="O11" s="1" t="s">
        <v>26</v>
      </c>
      <c r="P11" s="1" t="s">
        <v>59</v>
      </c>
      <c r="Q11" s="1" t="s">
        <v>28</v>
      </c>
      <c r="R11" s="1">
        <v>85</v>
      </c>
      <c r="S11" s="1" t="s">
        <v>47</v>
      </c>
      <c r="T11" s="1">
        <v>3811</v>
      </c>
    </row>
    <row r="12" spans="1:23" x14ac:dyDescent="0.25">
      <c r="A12" s="1" t="s">
        <v>64</v>
      </c>
      <c r="B12" s="2">
        <v>45430</v>
      </c>
      <c r="C12" s="1" t="s">
        <v>39</v>
      </c>
      <c r="D12" s="1" t="s">
        <v>22</v>
      </c>
      <c r="E12" s="1" t="s">
        <v>24</v>
      </c>
      <c r="F12" s="1">
        <v>13725</v>
      </c>
      <c r="G12" s="1">
        <v>1757</v>
      </c>
      <c r="H12" s="1">
        <v>255</v>
      </c>
      <c r="I12" s="1" t="s">
        <v>58</v>
      </c>
      <c r="J12" s="1">
        <v>27</v>
      </c>
      <c r="K12" s="1" t="s">
        <v>41</v>
      </c>
      <c r="L12" s="1">
        <v>840</v>
      </c>
      <c r="M12" s="1">
        <v>280</v>
      </c>
      <c r="O12" s="1" t="s">
        <v>42</v>
      </c>
      <c r="P12" s="1" t="s">
        <v>35</v>
      </c>
      <c r="Q12" s="1" t="s">
        <v>28</v>
      </c>
      <c r="R12" s="1">
        <v>45</v>
      </c>
      <c r="S12" s="1" t="s">
        <v>29</v>
      </c>
      <c r="T12" s="1">
        <v>4527</v>
      </c>
    </row>
    <row r="13" spans="1:23" x14ac:dyDescent="0.25">
      <c r="A13" s="1" t="s">
        <v>65</v>
      </c>
      <c r="B13" s="2">
        <v>45649</v>
      </c>
      <c r="C13" s="1" t="s">
        <v>31</v>
      </c>
      <c r="D13" s="1" t="s">
        <v>32</v>
      </c>
      <c r="E13" s="1" t="s">
        <v>23</v>
      </c>
      <c r="F13" s="1">
        <v>18165</v>
      </c>
      <c r="G13" s="1">
        <v>2397</v>
      </c>
      <c r="H13" s="1">
        <v>171</v>
      </c>
      <c r="I13" s="1" t="s">
        <v>58</v>
      </c>
      <c r="J13" s="1">
        <v>36</v>
      </c>
      <c r="K13" s="1" t="s">
        <v>25</v>
      </c>
      <c r="L13" s="1">
        <v>0</v>
      </c>
      <c r="M13" s="1">
        <v>0</v>
      </c>
      <c r="O13" s="1" t="s">
        <v>26</v>
      </c>
      <c r="P13" s="1" t="s">
        <v>35</v>
      </c>
      <c r="Q13" s="1" t="s">
        <v>52</v>
      </c>
      <c r="R13" s="1">
        <v>26</v>
      </c>
      <c r="S13" s="1" t="s">
        <v>37</v>
      </c>
      <c r="T13" s="1">
        <v>1047</v>
      </c>
    </row>
    <row r="14" spans="1:23" x14ac:dyDescent="0.25">
      <c r="A14" s="1" t="s">
        <v>66</v>
      </c>
      <c r="B14" s="2">
        <v>45771</v>
      </c>
      <c r="C14" s="1" t="s">
        <v>54</v>
      </c>
      <c r="D14" s="1" t="s">
        <v>32</v>
      </c>
      <c r="E14" s="1" t="s">
        <v>24</v>
      </c>
      <c r="F14" s="1">
        <v>18151</v>
      </c>
      <c r="G14" s="1">
        <v>4790</v>
      </c>
      <c r="H14" s="1">
        <v>79</v>
      </c>
      <c r="I14" s="1" t="s">
        <v>63</v>
      </c>
      <c r="J14" s="1">
        <v>36</v>
      </c>
      <c r="K14" s="1" t="s">
        <v>41</v>
      </c>
      <c r="L14" s="1">
        <v>504</v>
      </c>
      <c r="M14" s="1">
        <v>168</v>
      </c>
      <c r="O14" s="1" t="s">
        <v>42</v>
      </c>
      <c r="P14" s="1" t="s">
        <v>35</v>
      </c>
      <c r="Q14" s="1" t="s">
        <v>43</v>
      </c>
      <c r="R14" s="1">
        <v>2</v>
      </c>
      <c r="S14" s="1" t="s">
        <v>37</v>
      </c>
      <c r="T14" s="1">
        <v>1537</v>
      </c>
    </row>
    <row r="15" spans="1:23" x14ac:dyDescent="0.25">
      <c r="A15" s="1" t="s">
        <v>67</v>
      </c>
      <c r="B15" s="2">
        <v>45587</v>
      </c>
      <c r="C15" s="1" t="s">
        <v>39</v>
      </c>
      <c r="D15" s="1" t="s">
        <v>45</v>
      </c>
      <c r="E15" s="1" t="s">
        <v>23</v>
      </c>
      <c r="F15" s="1">
        <v>16698</v>
      </c>
      <c r="G15" s="1">
        <v>159</v>
      </c>
      <c r="H15" s="1">
        <v>33</v>
      </c>
      <c r="I15" s="1" t="s">
        <v>55</v>
      </c>
      <c r="J15" s="1">
        <v>15</v>
      </c>
      <c r="K15" s="1" t="s">
        <v>41</v>
      </c>
      <c r="L15" s="1">
        <v>281</v>
      </c>
      <c r="M15" s="1">
        <v>140.5</v>
      </c>
      <c r="O15" s="1" t="s">
        <v>26</v>
      </c>
      <c r="P15" s="1" t="s">
        <v>35</v>
      </c>
      <c r="Q15" s="1" t="s">
        <v>28</v>
      </c>
      <c r="R15" s="1">
        <v>20</v>
      </c>
      <c r="S15" s="1" t="s">
        <v>47</v>
      </c>
      <c r="T15" s="1">
        <v>662</v>
      </c>
    </row>
    <row r="16" spans="1:23" x14ac:dyDescent="0.25">
      <c r="A16" s="1" t="s">
        <v>68</v>
      </c>
      <c r="B16" s="2">
        <v>45526</v>
      </c>
      <c r="C16" s="1" t="s">
        <v>39</v>
      </c>
      <c r="D16" s="1" t="s">
        <v>32</v>
      </c>
      <c r="E16" s="1" t="s">
        <v>23</v>
      </c>
      <c r="F16" s="1">
        <v>13512</v>
      </c>
      <c r="G16" s="1">
        <v>4771</v>
      </c>
      <c r="H16" s="1">
        <v>229</v>
      </c>
      <c r="I16" s="1" t="s">
        <v>63</v>
      </c>
      <c r="J16" s="1">
        <v>12</v>
      </c>
      <c r="K16" s="1" t="s">
        <v>41</v>
      </c>
      <c r="L16" s="1">
        <v>642</v>
      </c>
      <c r="M16" s="1">
        <v>214</v>
      </c>
      <c r="O16" s="1" t="s">
        <v>42</v>
      </c>
      <c r="P16" s="1" t="s">
        <v>51</v>
      </c>
      <c r="Q16" s="1" t="s">
        <v>28</v>
      </c>
      <c r="R16" s="1">
        <v>16</v>
      </c>
      <c r="S16" s="1" t="s">
        <v>37</v>
      </c>
      <c r="T16" s="1">
        <v>1692</v>
      </c>
    </row>
    <row r="17" spans="1:20" x14ac:dyDescent="0.25">
      <c r="A17" s="1" t="s">
        <v>69</v>
      </c>
      <c r="B17" s="2">
        <v>45401</v>
      </c>
      <c r="C17" s="1" t="s">
        <v>21</v>
      </c>
      <c r="D17" s="1" t="s">
        <v>49</v>
      </c>
      <c r="E17" s="1" t="s">
        <v>33</v>
      </c>
      <c r="F17" s="1">
        <v>17408</v>
      </c>
      <c r="G17" s="1">
        <v>1173</v>
      </c>
      <c r="H17" s="1">
        <v>293</v>
      </c>
      <c r="I17" s="1" t="s">
        <v>24</v>
      </c>
      <c r="J17" s="1">
        <v>2</v>
      </c>
      <c r="K17" s="1" t="s">
        <v>25</v>
      </c>
      <c r="L17" s="1">
        <v>0</v>
      </c>
      <c r="M17" s="1">
        <v>0</v>
      </c>
      <c r="N17" s="1">
        <v>45</v>
      </c>
      <c r="O17" s="1" t="s">
        <v>42</v>
      </c>
      <c r="P17" s="1" t="s">
        <v>27</v>
      </c>
      <c r="Q17" s="1" t="s">
        <v>36</v>
      </c>
      <c r="R17" s="1">
        <v>85</v>
      </c>
      <c r="S17" s="1" t="s">
        <v>47</v>
      </c>
      <c r="T17" s="1">
        <v>2558</v>
      </c>
    </row>
    <row r="18" spans="1:20" x14ac:dyDescent="0.25">
      <c r="A18" s="1" t="s">
        <v>64</v>
      </c>
      <c r="B18" s="2">
        <v>45550</v>
      </c>
      <c r="C18" s="1" t="s">
        <v>21</v>
      </c>
      <c r="D18" s="1" t="s">
        <v>45</v>
      </c>
      <c r="E18" s="1" t="s">
        <v>50</v>
      </c>
      <c r="F18" s="1">
        <v>3082</v>
      </c>
      <c r="G18" s="1">
        <v>3332</v>
      </c>
      <c r="H18" s="1">
        <v>271</v>
      </c>
      <c r="I18" s="1" t="s">
        <v>34</v>
      </c>
      <c r="J18" s="1">
        <v>33</v>
      </c>
      <c r="K18" s="1" t="s">
        <v>41</v>
      </c>
      <c r="L18" s="1">
        <v>436</v>
      </c>
      <c r="M18" s="1">
        <v>218</v>
      </c>
      <c r="N18" s="1">
        <v>19</v>
      </c>
      <c r="O18" s="1" t="s">
        <v>42</v>
      </c>
      <c r="P18" s="1" t="s">
        <v>46</v>
      </c>
      <c r="Q18" s="1" t="s">
        <v>52</v>
      </c>
      <c r="R18" s="1">
        <v>68</v>
      </c>
      <c r="S18" s="1" t="s">
        <v>37</v>
      </c>
      <c r="T18" s="1">
        <v>2460</v>
      </c>
    </row>
    <row r="19" spans="1:20" x14ac:dyDescent="0.25">
      <c r="A19" s="1" t="s">
        <v>65</v>
      </c>
      <c r="B19" s="2">
        <v>45408</v>
      </c>
      <c r="C19" s="1" t="s">
        <v>21</v>
      </c>
      <c r="D19" s="1" t="s">
        <v>22</v>
      </c>
      <c r="E19" s="1" t="s">
        <v>33</v>
      </c>
      <c r="F19" s="1">
        <v>13392</v>
      </c>
      <c r="G19" s="1">
        <v>522</v>
      </c>
      <c r="H19" s="1">
        <v>115</v>
      </c>
      <c r="I19" s="1" t="s">
        <v>58</v>
      </c>
      <c r="J19" s="1">
        <v>9</v>
      </c>
      <c r="K19" s="1" t="s">
        <v>41</v>
      </c>
      <c r="L19" s="1">
        <v>162</v>
      </c>
      <c r="M19" s="1">
        <v>162</v>
      </c>
      <c r="N19" s="1">
        <v>43</v>
      </c>
      <c r="O19" s="1" t="s">
        <v>26</v>
      </c>
      <c r="P19" s="1" t="s">
        <v>59</v>
      </c>
      <c r="Q19" s="1" t="s">
        <v>43</v>
      </c>
      <c r="R19" s="1">
        <v>56</v>
      </c>
      <c r="S19" s="1" t="s">
        <v>29</v>
      </c>
      <c r="T19" s="1">
        <v>1186</v>
      </c>
    </row>
    <row r="20" spans="1:20" x14ac:dyDescent="0.25">
      <c r="A20" s="1" t="s">
        <v>70</v>
      </c>
      <c r="B20" s="2">
        <v>45403</v>
      </c>
      <c r="C20" s="1" t="s">
        <v>57</v>
      </c>
      <c r="D20" s="1" t="s">
        <v>32</v>
      </c>
      <c r="E20" s="1" t="s">
        <v>23</v>
      </c>
      <c r="F20" s="1">
        <v>14404</v>
      </c>
      <c r="G20" s="1">
        <v>1713</v>
      </c>
      <c r="H20" s="1">
        <v>75</v>
      </c>
      <c r="I20" s="1" t="s">
        <v>40</v>
      </c>
      <c r="J20" s="1">
        <v>26</v>
      </c>
      <c r="K20" s="1" t="s">
        <v>25</v>
      </c>
      <c r="L20" s="1">
        <v>0</v>
      </c>
      <c r="M20" s="1">
        <v>0</v>
      </c>
      <c r="O20" s="1" t="s">
        <v>42</v>
      </c>
      <c r="P20" s="1" t="s">
        <v>51</v>
      </c>
      <c r="Q20" s="1" t="s">
        <v>28</v>
      </c>
      <c r="R20" s="1">
        <v>5</v>
      </c>
      <c r="S20" s="1" t="s">
        <v>37</v>
      </c>
      <c r="T20" s="1">
        <v>5214</v>
      </c>
    </row>
    <row r="21" spans="1:20" ht="15.75" customHeight="1" x14ac:dyDescent="0.25">
      <c r="A21" s="1" t="s">
        <v>71</v>
      </c>
      <c r="B21" s="2">
        <v>45436</v>
      </c>
      <c r="C21" s="1" t="s">
        <v>21</v>
      </c>
      <c r="D21" s="1" t="s">
        <v>49</v>
      </c>
      <c r="E21" s="1" t="s">
        <v>23</v>
      </c>
      <c r="F21" s="1">
        <v>5797</v>
      </c>
      <c r="G21" s="1">
        <v>4974</v>
      </c>
      <c r="H21" s="1">
        <v>121</v>
      </c>
      <c r="I21" s="1" t="s">
        <v>24</v>
      </c>
      <c r="J21" s="1">
        <v>29</v>
      </c>
      <c r="K21" s="1" t="s">
        <v>41</v>
      </c>
      <c r="L21" s="1">
        <v>716</v>
      </c>
      <c r="M21" s="1">
        <v>716</v>
      </c>
      <c r="N21" s="1">
        <v>65</v>
      </c>
      <c r="O21" s="1" t="s">
        <v>42</v>
      </c>
      <c r="P21" s="1" t="s">
        <v>46</v>
      </c>
      <c r="Q21" s="1" t="s">
        <v>28</v>
      </c>
      <c r="R21" s="1">
        <v>58</v>
      </c>
      <c r="S21" s="1" t="s">
        <v>47</v>
      </c>
      <c r="T21" s="1">
        <v>2661</v>
      </c>
    </row>
    <row r="22" spans="1:20" ht="15.75" customHeight="1" x14ac:dyDescent="0.25">
      <c r="A22" s="1" t="s">
        <v>72</v>
      </c>
      <c r="B22" s="2">
        <v>45326</v>
      </c>
      <c r="C22" s="1" t="s">
        <v>54</v>
      </c>
      <c r="D22" s="1" t="s">
        <v>22</v>
      </c>
      <c r="E22" s="1" t="s">
        <v>23</v>
      </c>
      <c r="F22" s="1">
        <v>9555</v>
      </c>
      <c r="G22" s="1">
        <v>4714</v>
      </c>
      <c r="H22" s="1">
        <v>130</v>
      </c>
      <c r="I22" s="1" t="s">
        <v>34</v>
      </c>
      <c r="J22" s="1">
        <v>25</v>
      </c>
      <c r="K22" s="1" t="s">
        <v>41</v>
      </c>
      <c r="L22" s="1">
        <v>877</v>
      </c>
      <c r="M22" s="1">
        <v>438.5</v>
      </c>
      <c r="N22" s="1">
        <v>53</v>
      </c>
      <c r="O22" s="1" t="s">
        <v>26</v>
      </c>
      <c r="P22" s="1" t="s">
        <v>46</v>
      </c>
      <c r="Q22" s="1" t="s">
        <v>52</v>
      </c>
      <c r="R22" s="1">
        <v>7</v>
      </c>
      <c r="S22" s="1" t="s">
        <v>47</v>
      </c>
      <c r="T22" s="1">
        <v>3183</v>
      </c>
    </row>
    <row r="23" spans="1:20" ht="15.75" customHeight="1" x14ac:dyDescent="0.25">
      <c r="A23" s="1" t="s">
        <v>73</v>
      </c>
      <c r="B23" s="2">
        <v>45301</v>
      </c>
      <c r="C23" s="1" t="s">
        <v>54</v>
      </c>
      <c r="D23" s="1" t="s">
        <v>32</v>
      </c>
      <c r="E23" s="1" t="s">
        <v>23</v>
      </c>
      <c r="F23" s="1">
        <v>2176</v>
      </c>
      <c r="G23" s="1">
        <v>2781</v>
      </c>
      <c r="H23" s="1">
        <v>236</v>
      </c>
      <c r="I23" s="1" t="s">
        <v>55</v>
      </c>
      <c r="J23" s="1">
        <v>10</v>
      </c>
      <c r="K23" s="1" t="s">
        <v>25</v>
      </c>
      <c r="L23" s="1">
        <v>0</v>
      </c>
      <c r="M23" s="1">
        <v>0</v>
      </c>
      <c r="O23" s="1" t="s">
        <v>26</v>
      </c>
      <c r="P23" s="1" t="s">
        <v>51</v>
      </c>
      <c r="Q23" s="1" t="s">
        <v>43</v>
      </c>
      <c r="R23" s="1">
        <v>71</v>
      </c>
      <c r="S23" s="1" t="s">
        <v>29</v>
      </c>
      <c r="T23" s="1">
        <v>2547</v>
      </c>
    </row>
    <row r="24" spans="1:20" ht="15.75" customHeight="1" x14ac:dyDescent="0.25">
      <c r="A24" s="1" t="s">
        <v>74</v>
      </c>
      <c r="B24" s="2">
        <v>45590</v>
      </c>
      <c r="C24" s="1" t="s">
        <v>39</v>
      </c>
      <c r="D24" s="1" t="s">
        <v>22</v>
      </c>
      <c r="E24" s="1" t="s">
        <v>24</v>
      </c>
      <c r="F24" s="1">
        <v>16413</v>
      </c>
      <c r="G24" s="1">
        <v>2423</v>
      </c>
      <c r="H24" s="1">
        <v>175</v>
      </c>
      <c r="I24" s="1" t="s">
        <v>34</v>
      </c>
      <c r="J24" s="1">
        <v>12</v>
      </c>
      <c r="K24" s="1" t="s">
        <v>41</v>
      </c>
      <c r="L24" s="1">
        <v>732</v>
      </c>
      <c r="M24" s="1">
        <v>366</v>
      </c>
      <c r="N24" s="1">
        <v>39</v>
      </c>
      <c r="O24" s="1" t="s">
        <v>42</v>
      </c>
      <c r="P24" s="1" t="s">
        <v>51</v>
      </c>
      <c r="Q24" s="1" t="s">
        <v>36</v>
      </c>
      <c r="R24" s="1">
        <v>64</v>
      </c>
      <c r="S24" s="1" t="s">
        <v>47</v>
      </c>
      <c r="T24" s="1">
        <v>895</v>
      </c>
    </row>
    <row r="25" spans="1:20" ht="15.75" customHeight="1" x14ac:dyDescent="0.25">
      <c r="A25" s="1" t="s">
        <v>64</v>
      </c>
      <c r="B25" s="2">
        <v>45524</v>
      </c>
      <c r="C25" s="1" t="s">
        <v>31</v>
      </c>
      <c r="D25" s="1" t="s">
        <v>22</v>
      </c>
      <c r="E25" s="1" t="s">
        <v>23</v>
      </c>
      <c r="F25" s="1">
        <v>6655</v>
      </c>
      <c r="G25" s="1">
        <v>2549</v>
      </c>
      <c r="H25" s="1">
        <v>139</v>
      </c>
      <c r="I25" s="1" t="s">
        <v>40</v>
      </c>
      <c r="J25" s="1">
        <v>23</v>
      </c>
      <c r="K25" s="1" t="s">
        <v>41</v>
      </c>
      <c r="L25" s="1">
        <v>842</v>
      </c>
      <c r="M25" s="1">
        <v>842</v>
      </c>
      <c r="O25" s="1" t="s">
        <v>26</v>
      </c>
      <c r="P25" s="1" t="s">
        <v>46</v>
      </c>
      <c r="Q25" s="1" t="s">
        <v>36</v>
      </c>
      <c r="R25" s="1">
        <v>70</v>
      </c>
      <c r="S25" s="1" t="s">
        <v>37</v>
      </c>
      <c r="T25" s="1">
        <v>676</v>
      </c>
    </row>
    <row r="26" spans="1:20" ht="15.75" customHeight="1" x14ac:dyDescent="0.25">
      <c r="A26" s="1" t="s">
        <v>75</v>
      </c>
      <c r="B26" s="2">
        <v>45507</v>
      </c>
      <c r="C26" s="1" t="s">
        <v>21</v>
      </c>
      <c r="D26" s="1" t="s">
        <v>45</v>
      </c>
      <c r="E26" s="1" t="s">
        <v>33</v>
      </c>
      <c r="F26" s="1">
        <v>13259</v>
      </c>
      <c r="G26" s="1">
        <v>810</v>
      </c>
      <c r="H26" s="1">
        <v>73</v>
      </c>
      <c r="I26" s="1" t="s">
        <v>55</v>
      </c>
      <c r="J26" s="1">
        <v>27</v>
      </c>
      <c r="K26" s="1" t="s">
        <v>41</v>
      </c>
      <c r="L26" s="1">
        <v>701</v>
      </c>
      <c r="M26" s="1">
        <v>233.67</v>
      </c>
      <c r="O26" s="1" t="s">
        <v>26</v>
      </c>
      <c r="P26" s="1" t="s">
        <v>35</v>
      </c>
      <c r="Q26" s="1" t="s">
        <v>52</v>
      </c>
      <c r="R26" s="1">
        <v>72</v>
      </c>
      <c r="S26" s="1" t="s">
        <v>37</v>
      </c>
      <c r="T26" s="1">
        <v>5281</v>
      </c>
    </row>
    <row r="27" spans="1:20" ht="15.75" customHeight="1" x14ac:dyDescent="0.25">
      <c r="A27" s="1" t="s">
        <v>76</v>
      </c>
      <c r="B27" s="2">
        <v>45604</v>
      </c>
      <c r="C27" s="1" t="s">
        <v>31</v>
      </c>
      <c r="D27" s="1" t="s">
        <v>32</v>
      </c>
      <c r="E27" s="1" t="s">
        <v>24</v>
      </c>
      <c r="F27" s="1">
        <v>4724</v>
      </c>
      <c r="G27" s="1">
        <v>1600</v>
      </c>
      <c r="H27" s="1">
        <v>16</v>
      </c>
      <c r="I27" s="1" t="s">
        <v>24</v>
      </c>
      <c r="J27" s="1">
        <v>6</v>
      </c>
      <c r="K27" s="1" t="s">
        <v>25</v>
      </c>
      <c r="L27" s="1">
        <v>0</v>
      </c>
      <c r="M27" s="1">
        <v>0</v>
      </c>
      <c r="O27" s="1" t="s">
        <v>42</v>
      </c>
      <c r="P27" s="1" t="s">
        <v>35</v>
      </c>
      <c r="Q27" s="1" t="s">
        <v>52</v>
      </c>
      <c r="R27" s="1">
        <v>25</v>
      </c>
      <c r="S27" s="1" t="s">
        <v>29</v>
      </c>
      <c r="T27" s="1">
        <v>5304</v>
      </c>
    </row>
    <row r="28" spans="1:20" ht="15.75" customHeight="1" x14ac:dyDescent="0.25">
      <c r="A28" s="1" t="s">
        <v>77</v>
      </c>
      <c r="B28" s="2">
        <v>45547</v>
      </c>
      <c r="C28" s="1" t="s">
        <v>54</v>
      </c>
      <c r="D28" s="1" t="s">
        <v>49</v>
      </c>
      <c r="E28" s="1" t="s">
        <v>50</v>
      </c>
      <c r="F28" s="1">
        <v>2859</v>
      </c>
      <c r="G28" s="1">
        <v>2303</v>
      </c>
      <c r="H28" s="1">
        <v>144</v>
      </c>
      <c r="I28" s="1" t="s">
        <v>34</v>
      </c>
      <c r="J28" s="1">
        <v>15</v>
      </c>
      <c r="K28" s="1" t="s">
        <v>41</v>
      </c>
      <c r="L28" s="1">
        <v>556</v>
      </c>
      <c r="M28" s="1">
        <v>556</v>
      </c>
      <c r="N28" s="1">
        <v>59</v>
      </c>
      <c r="O28" s="1" t="s">
        <v>42</v>
      </c>
      <c r="P28" s="1" t="s">
        <v>35</v>
      </c>
      <c r="Q28" s="1" t="s">
        <v>43</v>
      </c>
      <c r="R28" s="1">
        <v>82</v>
      </c>
      <c r="S28" s="1" t="s">
        <v>37</v>
      </c>
      <c r="T28" s="1">
        <v>1362</v>
      </c>
    </row>
    <row r="29" spans="1:20" ht="15.75" customHeight="1" x14ac:dyDescent="0.25">
      <c r="A29" s="1" t="s">
        <v>78</v>
      </c>
      <c r="B29" s="2">
        <v>45774</v>
      </c>
      <c r="C29" s="1" t="s">
        <v>54</v>
      </c>
      <c r="D29" s="1" t="s">
        <v>22</v>
      </c>
      <c r="E29" s="1" t="s">
        <v>50</v>
      </c>
      <c r="F29" s="1">
        <v>18749</v>
      </c>
      <c r="G29" s="1">
        <v>3889</v>
      </c>
      <c r="H29" s="1">
        <v>142</v>
      </c>
      <c r="I29" s="1" t="s">
        <v>63</v>
      </c>
      <c r="J29" s="1">
        <v>22</v>
      </c>
      <c r="K29" s="1" t="s">
        <v>25</v>
      </c>
      <c r="L29" s="1">
        <v>0</v>
      </c>
      <c r="M29" s="1">
        <v>0</v>
      </c>
      <c r="N29" s="1">
        <v>41</v>
      </c>
      <c r="O29" s="1" t="s">
        <v>42</v>
      </c>
      <c r="P29" s="1" t="s">
        <v>46</v>
      </c>
      <c r="Q29" s="1" t="s">
        <v>52</v>
      </c>
      <c r="R29" s="1">
        <v>36</v>
      </c>
      <c r="S29" s="1" t="s">
        <v>29</v>
      </c>
      <c r="T29" s="1">
        <v>1266</v>
      </c>
    </row>
    <row r="30" spans="1:20" ht="15.75" customHeight="1" x14ac:dyDescent="0.25">
      <c r="A30" s="1" t="s">
        <v>79</v>
      </c>
      <c r="B30" s="2">
        <v>45508</v>
      </c>
      <c r="C30" s="1" t="s">
        <v>31</v>
      </c>
      <c r="D30" s="1" t="s">
        <v>45</v>
      </c>
      <c r="E30" s="1" t="s">
        <v>50</v>
      </c>
      <c r="F30" s="1">
        <v>8445</v>
      </c>
      <c r="G30" s="1">
        <v>750</v>
      </c>
      <c r="H30" s="1">
        <v>253</v>
      </c>
      <c r="I30" s="1" t="s">
        <v>24</v>
      </c>
      <c r="J30" s="1">
        <v>2</v>
      </c>
      <c r="K30" s="1" t="s">
        <v>25</v>
      </c>
      <c r="L30" s="1">
        <v>0</v>
      </c>
      <c r="M30" s="1">
        <v>0</v>
      </c>
      <c r="O30" s="1" t="s">
        <v>26</v>
      </c>
      <c r="P30" s="1" t="s">
        <v>51</v>
      </c>
      <c r="Q30" s="1" t="s">
        <v>43</v>
      </c>
      <c r="R30" s="1">
        <v>9</v>
      </c>
      <c r="S30" s="1" t="s">
        <v>29</v>
      </c>
      <c r="T30" s="1">
        <v>5364</v>
      </c>
    </row>
    <row r="31" spans="1:20" ht="15.75" customHeight="1" x14ac:dyDescent="0.25">
      <c r="A31" s="1" t="s">
        <v>80</v>
      </c>
      <c r="B31" s="2">
        <v>45827</v>
      </c>
      <c r="C31" s="1" t="s">
        <v>39</v>
      </c>
      <c r="D31" s="1" t="s">
        <v>49</v>
      </c>
      <c r="E31" s="1" t="s">
        <v>23</v>
      </c>
      <c r="F31" s="1">
        <v>6846</v>
      </c>
      <c r="G31" s="1">
        <v>2876</v>
      </c>
      <c r="H31" s="1">
        <v>108</v>
      </c>
      <c r="I31" s="1" t="s">
        <v>63</v>
      </c>
      <c r="J31" s="1">
        <v>3</v>
      </c>
      <c r="K31" s="1" t="s">
        <v>41</v>
      </c>
      <c r="L31" s="1">
        <v>209</v>
      </c>
      <c r="M31" s="1">
        <v>209</v>
      </c>
      <c r="N31" s="1">
        <v>22</v>
      </c>
      <c r="O31" s="1" t="s">
        <v>26</v>
      </c>
      <c r="P31" s="1" t="s">
        <v>27</v>
      </c>
      <c r="Q31" s="1" t="s">
        <v>43</v>
      </c>
      <c r="R31" s="1">
        <v>68</v>
      </c>
      <c r="S31" s="1" t="s">
        <v>47</v>
      </c>
      <c r="T31" s="1">
        <v>1118</v>
      </c>
    </row>
    <row r="32" spans="1:20" ht="15.75" customHeight="1" x14ac:dyDescent="0.25">
      <c r="A32" s="1" t="s">
        <v>81</v>
      </c>
      <c r="B32" s="2">
        <v>45292</v>
      </c>
      <c r="C32" s="1" t="s">
        <v>54</v>
      </c>
      <c r="D32" s="1" t="s">
        <v>32</v>
      </c>
      <c r="E32" s="1" t="s">
        <v>23</v>
      </c>
      <c r="F32" s="1">
        <v>12882</v>
      </c>
      <c r="G32" s="1">
        <v>3284</v>
      </c>
      <c r="H32" s="1">
        <v>266</v>
      </c>
      <c r="I32" s="1" t="s">
        <v>24</v>
      </c>
      <c r="J32" s="1">
        <v>4</v>
      </c>
      <c r="K32" s="1" t="s">
        <v>41</v>
      </c>
      <c r="L32" s="1">
        <v>857</v>
      </c>
      <c r="M32" s="1">
        <v>428.5</v>
      </c>
      <c r="N32" s="1">
        <v>55</v>
      </c>
      <c r="O32" s="1" t="s">
        <v>26</v>
      </c>
      <c r="P32" s="1" t="s">
        <v>51</v>
      </c>
      <c r="Q32" s="1" t="s">
        <v>28</v>
      </c>
      <c r="R32" s="1">
        <v>41</v>
      </c>
      <c r="S32" s="1" t="s">
        <v>37</v>
      </c>
      <c r="T32" s="1">
        <v>4451</v>
      </c>
    </row>
    <row r="33" spans="1:20" ht="15.75" customHeight="1" x14ac:dyDescent="0.25">
      <c r="A33" s="1" t="s">
        <v>82</v>
      </c>
      <c r="B33" s="2">
        <v>45411</v>
      </c>
      <c r="C33" s="1" t="s">
        <v>39</v>
      </c>
      <c r="D33" s="1" t="s">
        <v>49</v>
      </c>
      <c r="E33" s="1" t="s">
        <v>23</v>
      </c>
      <c r="F33" s="1">
        <v>10815</v>
      </c>
      <c r="G33" s="1">
        <v>4031</v>
      </c>
      <c r="H33" s="1">
        <v>3</v>
      </c>
      <c r="I33" s="1" t="s">
        <v>58</v>
      </c>
      <c r="J33" s="1">
        <v>11</v>
      </c>
      <c r="K33" s="1" t="s">
        <v>25</v>
      </c>
      <c r="L33" s="1">
        <v>0</v>
      </c>
      <c r="M33" s="1">
        <v>0</v>
      </c>
      <c r="N33" s="1">
        <v>42</v>
      </c>
      <c r="O33" s="1" t="s">
        <v>26</v>
      </c>
      <c r="P33" s="1" t="s">
        <v>51</v>
      </c>
      <c r="Q33" s="1" t="s">
        <v>28</v>
      </c>
      <c r="R33" s="1">
        <v>87</v>
      </c>
      <c r="S33" s="1" t="s">
        <v>37</v>
      </c>
      <c r="T33" s="1">
        <v>5865</v>
      </c>
    </row>
    <row r="34" spans="1:20" ht="15.75" customHeight="1" x14ac:dyDescent="0.25">
      <c r="A34" s="1" t="s">
        <v>83</v>
      </c>
      <c r="B34" s="2">
        <v>45311</v>
      </c>
      <c r="C34" s="1" t="s">
        <v>31</v>
      </c>
      <c r="D34" s="1" t="s">
        <v>45</v>
      </c>
      <c r="E34" s="1" t="s">
        <v>50</v>
      </c>
      <c r="F34" s="1">
        <v>6493</v>
      </c>
      <c r="G34" s="1">
        <v>1668</v>
      </c>
      <c r="H34" s="1">
        <v>73</v>
      </c>
      <c r="I34" s="1" t="s">
        <v>40</v>
      </c>
      <c r="J34" s="1">
        <v>7</v>
      </c>
      <c r="K34" s="1" t="s">
        <v>41</v>
      </c>
      <c r="L34" s="1">
        <v>625</v>
      </c>
      <c r="M34" s="1">
        <v>625</v>
      </c>
      <c r="O34" s="1" t="s">
        <v>26</v>
      </c>
      <c r="P34" s="1" t="s">
        <v>27</v>
      </c>
      <c r="Q34" s="1" t="s">
        <v>36</v>
      </c>
      <c r="R34" s="1">
        <v>98</v>
      </c>
      <c r="S34" s="1" t="s">
        <v>37</v>
      </c>
      <c r="T34" s="1">
        <v>2159</v>
      </c>
    </row>
    <row r="35" spans="1:20" ht="15.75" customHeight="1" x14ac:dyDescent="0.25">
      <c r="A35" s="1" t="s">
        <v>84</v>
      </c>
      <c r="B35" s="2">
        <v>45792</v>
      </c>
      <c r="C35" s="1" t="s">
        <v>31</v>
      </c>
      <c r="D35" s="1" t="s">
        <v>49</v>
      </c>
      <c r="E35" s="1" t="s">
        <v>24</v>
      </c>
      <c r="F35" s="1">
        <v>10804</v>
      </c>
      <c r="G35" s="1">
        <v>4984</v>
      </c>
      <c r="H35" s="1">
        <v>17</v>
      </c>
      <c r="I35" s="1" t="s">
        <v>55</v>
      </c>
      <c r="J35" s="1">
        <v>17</v>
      </c>
      <c r="K35" s="1" t="s">
        <v>25</v>
      </c>
      <c r="L35" s="1">
        <v>0</v>
      </c>
      <c r="M35" s="1">
        <v>0</v>
      </c>
      <c r="O35" s="1" t="s">
        <v>26</v>
      </c>
      <c r="P35" s="1" t="s">
        <v>27</v>
      </c>
      <c r="Q35" s="1" t="s">
        <v>52</v>
      </c>
      <c r="R35" s="1">
        <v>20</v>
      </c>
      <c r="S35" s="1" t="s">
        <v>29</v>
      </c>
      <c r="T35" s="1">
        <v>4764</v>
      </c>
    </row>
    <row r="36" spans="1:20" ht="15.75" customHeight="1" x14ac:dyDescent="0.25">
      <c r="A36" s="1" t="s">
        <v>85</v>
      </c>
      <c r="B36" s="2">
        <v>45551</v>
      </c>
      <c r="C36" s="1" t="s">
        <v>54</v>
      </c>
      <c r="D36" s="1" t="s">
        <v>45</v>
      </c>
      <c r="E36" s="1" t="s">
        <v>50</v>
      </c>
      <c r="F36" s="1">
        <v>12590</v>
      </c>
      <c r="G36" s="1">
        <v>3246</v>
      </c>
      <c r="H36" s="1">
        <v>254</v>
      </c>
      <c r="I36" s="1" t="s">
        <v>24</v>
      </c>
      <c r="J36" s="1">
        <v>14</v>
      </c>
      <c r="K36" s="1" t="s">
        <v>25</v>
      </c>
      <c r="L36" s="1">
        <v>0</v>
      </c>
      <c r="M36" s="1">
        <v>0</v>
      </c>
      <c r="O36" s="1" t="s">
        <v>42</v>
      </c>
      <c r="P36" s="1" t="s">
        <v>27</v>
      </c>
      <c r="Q36" s="1" t="s">
        <v>28</v>
      </c>
      <c r="R36" s="1">
        <v>63</v>
      </c>
      <c r="S36" s="1" t="s">
        <v>37</v>
      </c>
      <c r="T36" s="1">
        <v>2691</v>
      </c>
    </row>
    <row r="37" spans="1:20" ht="15.75" customHeight="1" x14ac:dyDescent="0.25">
      <c r="A37" s="1" t="s">
        <v>86</v>
      </c>
      <c r="B37" s="2">
        <v>45825</v>
      </c>
      <c r="C37" s="1" t="s">
        <v>31</v>
      </c>
      <c r="D37" s="1" t="s">
        <v>45</v>
      </c>
      <c r="E37" s="1" t="s">
        <v>50</v>
      </c>
      <c r="F37" s="1">
        <v>6057</v>
      </c>
      <c r="G37" s="1">
        <v>1207</v>
      </c>
      <c r="H37" s="1">
        <v>299</v>
      </c>
      <c r="I37" s="1" t="s">
        <v>34</v>
      </c>
      <c r="J37" s="1">
        <v>5</v>
      </c>
      <c r="K37" s="1" t="s">
        <v>25</v>
      </c>
      <c r="L37" s="1">
        <v>0</v>
      </c>
      <c r="M37" s="1">
        <v>0</v>
      </c>
      <c r="N37" s="1">
        <v>29</v>
      </c>
      <c r="O37" s="1" t="s">
        <v>42</v>
      </c>
      <c r="P37" s="1" t="s">
        <v>35</v>
      </c>
      <c r="Q37" s="1" t="s">
        <v>43</v>
      </c>
      <c r="R37" s="1">
        <v>78</v>
      </c>
      <c r="S37" s="1" t="s">
        <v>47</v>
      </c>
      <c r="T37" s="1">
        <v>1689</v>
      </c>
    </row>
    <row r="38" spans="1:20" ht="15.75" customHeight="1" x14ac:dyDescent="0.25">
      <c r="A38" s="1" t="s">
        <v>79</v>
      </c>
      <c r="B38" s="2">
        <v>45574</v>
      </c>
      <c r="C38" s="1" t="s">
        <v>54</v>
      </c>
      <c r="D38" s="1" t="s">
        <v>22</v>
      </c>
      <c r="E38" s="1" t="s">
        <v>50</v>
      </c>
      <c r="F38" s="1">
        <v>13347</v>
      </c>
      <c r="G38" s="1">
        <v>1124</v>
      </c>
      <c r="H38" s="1">
        <v>117</v>
      </c>
      <c r="I38" s="1" t="s">
        <v>34</v>
      </c>
      <c r="J38" s="1">
        <v>27</v>
      </c>
      <c r="K38" s="1" t="s">
        <v>25</v>
      </c>
      <c r="L38" s="1">
        <v>0</v>
      </c>
      <c r="M38" s="1">
        <v>0</v>
      </c>
      <c r="N38" s="1">
        <v>40</v>
      </c>
      <c r="O38" s="1" t="s">
        <v>26</v>
      </c>
      <c r="P38" s="1" t="s">
        <v>46</v>
      </c>
      <c r="Q38" s="1" t="s">
        <v>43</v>
      </c>
      <c r="R38" s="1">
        <v>79</v>
      </c>
      <c r="S38" s="1" t="s">
        <v>29</v>
      </c>
      <c r="T38" s="1">
        <v>4231</v>
      </c>
    </row>
    <row r="39" spans="1:20" ht="15.75" customHeight="1" x14ac:dyDescent="0.25">
      <c r="A39" s="1" t="s">
        <v>87</v>
      </c>
      <c r="B39" s="2">
        <v>45615</v>
      </c>
      <c r="C39" s="1" t="s">
        <v>31</v>
      </c>
      <c r="D39" s="1" t="s">
        <v>22</v>
      </c>
      <c r="E39" s="1" t="s">
        <v>50</v>
      </c>
      <c r="F39" s="1">
        <v>13271</v>
      </c>
      <c r="G39" s="1">
        <v>4090</v>
      </c>
      <c r="H39" s="1">
        <v>285</v>
      </c>
      <c r="I39" s="1" t="s">
        <v>63</v>
      </c>
      <c r="J39" s="1">
        <v>20</v>
      </c>
      <c r="K39" s="1" t="s">
        <v>25</v>
      </c>
      <c r="L39" s="1">
        <v>0</v>
      </c>
      <c r="M39" s="1">
        <v>0</v>
      </c>
      <c r="N39" s="1">
        <v>36</v>
      </c>
      <c r="O39" s="1" t="s">
        <v>26</v>
      </c>
      <c r="P39" s="1" t="s">
        <v>27</v>
      </c>
      <c r="Q39" s="1" t="s">
        <v>28</v>
      </c>
      <c r="R39" s="1">
        <v>87</v>
      </c>
      <c r="S39" s="1" t="s">
        <v>29</v>
      </c>
      <c r="T39" s="1">
        <v>2156</v>
      </c>
    </row>
    <row r="40" spans="1:20" ht="15.75" customHeight="1" x14ac:dyDescent="0.25">
      <c r="A40" s="1" t="s">
        <v>88</v>
      </c>
      <c r="B40" s="2">
        <v>45365</v>
      </c>
      <c r="C40" s="1" t="s">
        <v>21</v>
      </c>
      <c r="D40" s="1" t="s">
        <v>32</v>
      </c>
      <c r="E40" s="1" t="s">
        <v>50</v>
      </c>
      <c r="F40" s="1">
        <v>7418</v>
      </c>
      <c r="G40" s="1">
        <v>1495</v>
      </c>
      <c r="H40" s="1">
        <v>48</v>
      </c>
      <c r="I40" s="1" t="s">
        <v>58</v>
      </c>
      <c r="J40" s="1">
        <v>8</v>
      </c>
      <c r="K40" s="1" t="s">
        <v>25</v>
      </c>
      <c r="L40" s="1">
        <v>0</v>
      </c>
      <c r="M40" s="1">
        <v>0</v>
      </c>
      <c r="O40" s="1" t="s">
        <v>26</v>
      </c>
      <c r="P40" s="1" t="s">
        <v>46</v>
      </c>
      <c r="Q40" s="1" t="s">
        <v>43</v>
      </c>
      <c r="R40" s="1">
        <v>59</v>
      </c>
      <c r="S40" s="1" t="s">
        <v>29</v>
      </c>
      <c r="T40" s="1">
        <v>2314</v>
      </c>
    </row>
    <row r="41" spans="1:20" ht="15.75" customHeight="1" x14ac:dyDescent="0.25">
      <c r="A41" s="1" t="s">
        <v>85</v>
      </c>
      <c r="B41" s="2">
        <v>45372</v>
      </c>
      <c r="C41" s="1" t="s">
        <v>31</v>
      </c>
      <c r="D41" s="1" t="s">
        <v>45</v>
      </c>
      <c r="E41" s="1" t="s">
        <v>24</v>
      </c>
      <c r="F41" s="1">
        <v>17436</v>
      </c>
      <c r="G41" s="1">
        <v>1514</v>
      </c>
      <c r="H41" s="1">
        <v>285</v>
      </c>
      <c r="I41" s="1" t="s">
        <v>63</v>
      </c>
      <c r="J41" s="1">
        <v>5</v>
      </c>
      <c r="K41" s="1" t="s">
        <v>41</v>
      </c>
      <c r="L41" s="1">
        <v>420</v>
      </c>
      <c r="M41" s="1">
        <v>140</v>
      </c>
      <c r="N41" s="1">
        <v>52</v>
      </c>
      <c r="O41" s="1" t="s">
        <v>26</v>
      </c>
      <c r="P41" s="1" t="s">
        <v>35</v>
      </c>
      <c r="Q41" s="1" t="s">
        <v>28</v>
      </c>
      <c r="R41" s="1">
        <v>13</v>
      </c>
      <c r="S41" s="1" t="s">
        <v>29</v>
      </c>
      <c r="T41" s="1">
        <v>5744</v>
      </c>
    </row>
    <row r="42" spans="1:20" ht="15.75" customHeight="1" x14ac:dyDescent="0.25">
      <c r="A42" s="1" t="s">
        <v>89</v>
      </c>
      <c r="B42" s="2">
        <v>45395</v>
      </c>
      <c r="C42" s="1" t="s">
        <v>57</v>
      </c>
      <c r="D42" s="1" t="s">
        <v>32</v>
      </c>
      <c r="E42" s="1" t="s">
        <v>23</v>
      </c>
      <c r="F42" s="1">
        <v>14875</v>
      </c>
      <c r="G42" s="1">
        <v>1956</v>
      </c>
      <c r="H42" s="1">
        <v>157</v>
      </c>
      <c r="I42" s="1" t="s">
        <v>55</v>
      </c>
      <c r="J42" s="1">
        <v>13</v>
      </c>
      <c r="K42" s="1" t="s">
        <v>25</v>
      </c>
      <c r="L42" s="1">
        <v>0</v>
      </c>
      <c r="M42" s="1">
        <v>0</v>
      </c>
      <c r="N42" s="1">
        <v>54</v>
      </c>
      <c r="O42" s="1" t="s">
        <v>26</v>
      </c>
      <c r="P42" s="1" t="s">
        <v>59</v>
      </c>
      <c r="Q42" s="1" t="s">
        <v>52</v>
      </c>
      <c r="R42" s="1">
        <v>13</v>
      </c>
      <c r="S42" s="1" t="s">
        <v>37</v>
      </c>
      <c r="T42" s="1">
        <v>3253</v>
      </c>
    </row>
    <row r="43" spans="1:20" ht="15.75" customHeight="1" x14ac:dyDescent="0.25">
      <c r="A43" s="1" t="s">
        <v>90</v>
      </c>
      <c r="B43" s="2">
        <v>45649</v>
      </c>
      <c r="C43" s="1" t="s">
        <v>31</v>
      </c>
      <c r="D43" s="1" t="s">
        <v>49</v>
      </c>
      <c r="E43" s="1" t="s">
        <v>23</v>
      </c>
      <c r="F43" s="1">
        <v>9173</v>
      </c>
      <c r="G43" s="1">
        <v>1862</v>
      </c>
      <c r="H43" s="1">
        <v>237</v>
      </c>
      <c r="I43" s="1" t="s">
        <v>24</v>
      </c>
      <c r="J43" s="1">
        <v>2</v>
      </c>
      <c r="K43" s="1" t="s">
        <v>25</v>
      </c>
      <c r="L43" s="1">
        <v>0</v>
      </c>
      <c r="M43" s="1">
        <v>0</v>
      </c>
      <c r="O43" s="1" t="s">
        <v>42</v>
      </c>
      <c r="P43" s="1" t="s">
        <v>27</v>
      </c>
      <c r="Q43" s="1" t="s">
        <v>36</v>
      </c>
      <c r="R43" s="1">
        <v>81</v>
      </c>
      <c r="S43" s="1" t="s">
        <v>47</v>
      </c>
      <c r="T43" s="1">
        <v>5787</v>
      </c>
    </row>
    <row r="44" spans="1:20" ht="15.75" customHeight="1" x14ac:dyDescent="0.25">
      <c r="A44" s="1" t="s">
        <v>91</v>
      </c>
      <c r="B44" s="2">
        <v>45639</v>
      </c>
      <c r="C44" s="1" t="s">
        <v>39</v>
      </c>
      <c r="D44" s="1" t="s">
        <v>32</v>
      </c>
      <c r="E44" s="1" t="s">
        <v>24</v>
      </c>
      <c r="F44" s="1">
        <v>1060</v>
      </c>
      <c r="G44" s="1">
        <v>2794</v>
      </c>
      <c r="H44" s="1">
        <v>180</v>
      </c>
      <c r="I44" s="1" t="s">
        <v>40</v>
      </c>
      <c r="J44" s="1">
        <v>21</v>
      </c>
      <c r="K44" s="1" t="s">
        <v>25</v>
      </c>
      <c r="L44" s="1">
        <v>0</v>
      </c>
      <c r="M44" s="1">
        <v>0</v>
      </c>
      <c r="N44" s="1">
        <v>62</v>
      </c>
      <c r="O44" s="1" t="s">
        <v>42</v>
      </c>
      <c r="P44" s="1" t="s">
        <v>59</v>
      </c>
      <c r="Q44" s="1" t="s">
        <v>28</v>
      </c>
      <c r="R44" s="1">
        <v>66</v>
      </c>
      <c r="S44" s="1" t="s">
        <v>37</v>
      </c>
      <c r="T44" s="1">
        <v>5256</v>
      </c>
    </row>
    <row r="45" spans="1:20" ht="15.75" customHeight="1" x14ac:dyDescent="0.25">
      <c r="A45" s="1" t="s">
        <v>92</v>
      </c>
      <c r="B45" s="2">
        <v>45556</v>
      </c>
      <c r="C45" s="1" t="s">
        <v>31</v>
      </c>
      <c r="D45" s="1" t="s">
        <v>45</v>
      </c>
      <c r="E45" s="1" t="s">
        <v>33</v>
      </c>
      <c r="F45" s="1">
        <v>9695</v>
      </c>
      <c r="G45" s="1">
        <v>1257</v>
      </c>
      <c r="H45" s="1">
        <v>34</v>
      </c>
      <c r="I45" s="1" t="s">
        <v>55</v>
      </c>
      <c r="J45" s="1">
        <v>5</v>
      </c>
      <c r="K45" s="1" t="s">
        <v>41</v>
      </c>
      <c r="L45" s="1">
        <v>836</v>
      </c>
      <c r="M45" s="1">
        <v>278.67</v>
      </c>
      <c r="N45" s="1">
        <v>63</v>
      </c>
      <c r="O45" s="1" t="s">
        <v>42</v>
      </c>
      <c r="P45" s="1" t="s">
        <v>51</v>
      </c>
      <c r="Q45" s="1" t="s">
        <v>52</v>
      </c>
      <c r="R45" s="1">
        <v>58</v>
      </c>
      <c r="S45" s="1" t="s">
        <v>29</v>
      </c>
      <c r="T45" s="1">
        <v>3809</v>
      </c>
    </row>
    <row r="46" spans="1:20" ht="15.75" customHeight="1" x14ac:dyDescent="0.25">
      <c r="A46" s="1" t="s">
        <v>79</v>
      </c>
      <c r="B46" s="2">
        <v>45636</v>
      </c>
      <c r="C46" s="1" t="s">
        <v>21</v>
      </c>
      <c r="D46" s="1" t="s">
        <v>32</v>
      </c>
      <c r="E46" s="1" t="s">
        <v>33</v>
      </c>
      <c r="F46" s="1">
        <v>12755</v>
      </c>
      <c r="G46" s="1">
        <v>4271</v>
      </c>
      <c r="H46" s="1">
        <v>189</v>
      </c>
      <c r="I46" s="1" t="s">
        <v>40</v>
      </c>
      <c r="J46" s="1">
        <v>16</v>
      </c>
      <c r="K46" s="1" t="s">
        <v>41</v>
      </c>
      <c r="L46" s="1">
        <v>199</v>
      </c>
      <c r="M46" s="1">
        <v>99.5</v>
      </c>
      <c r="N46" s="1">
        <v>63</v>
      </c>
      <c r="O46" s="1" t="s">
        <v>42</v>
      </c>
      <c r="P46" s="1" t="s">
        <v>59</v>
      </c>
      <c r="Q46" s="1" t="s">
        <v>36</v>
      </c>
      <c r="R46" s="1">
        <v>23</v>
      </c>
      <c r="S46" s="1" t="s">
        <v>37</v>
      </c>
      <c r="T46" s="1">
        <v>300</v>
      </c>
    </row>
    <row r="47" spans="1:20" ht="15.75" customHeight="1" x14ac:dyDescent="0.25">
      <c r="A47" s="1" t="s">
        <v>93</v>
      </c>
      <c r="B47" s="2">
        <v>45470</v>
      </c>
      <c r="C47" s="1" t="s">
        <v>21</v>
      </c>
      <c r="D47" s="1" t="s">
        <v>32</v>
      </c>
      <c r="E47" s="1" t="s">
        <v>23</v>
      </c>
      <c r="F47" s="1">
        <v>1969</v>
      </c>
      <c r="G47" s="1">
        <v>4586</v>
      </c>
      <c r="H47" s="1">
        <v>10</v>
      </c>
      <c r="I47" s="1" t="s">
        <v>40</v>
      </c>
      <c r="J47" s="1">
        <v>25</v>
      </c>
      <c r="K47" s="1" t="s">
        <v>41</v>
      </c>
      <c r="L47" s="1">
        <v>335</v>
      </c>
      <c r="M47" s="1">
        <v>335</v>
      </c>
      <c r="O47" s="1" t="s">
        <v>26</v>
      </c>
      <c r="P47" s="1" t="s">
        <v>59</v>
      </c>
      <c r="Q47" s="1" t="s">
        <v>43</v>
      </c>
      <c r="R47" s="1">
        <v>5</v>
      </c>
      <c r="S47" s="1" t="s">
        <v>47</v>
      </c>
      <c r="T47" s="1">
        <v>2842</v>
      </c>
    </row>
    <row r="48" spans="1:20" ht="15.75" customHeight="1" x14ac:dyDescent="0.25">
      <c r="A48" s="1" t="s">
        <v>92</v>
      </c>
      <c r="B48" s="2">
        <v>45695</v>
      </c>
      <c r="C48" s="1" t="s">
        <v>57</v>
      </c>
      <c r="D48" s="1" t="s">
        <v>22</v>
      </c>
      <c r="E48" s="1" t="s">
        <v>33</v>
      </c>
      <c r="F48" s="1">
        <v>4317</v>
      </c>
      <c r="G48" s="1">
        <v>3745</v>
      </c>
      <c r="H48" s="1">
        <v>22</v>
      </c>
      <c r="I48" s="1" t="s">
        <v>58</v>
      </c>
      <c r="J48" s="1">
        <v>12</v>
      </c>
      <c r="K48" s="1" t="s">
        <v>25</v>
      </c>
      <c r="L48" s="1">
        <v>0</v>
      </c>
      <c r="M48" s="1">
        <v>0</v>
      </c>
      <c r="N48" s="1">
        <v>26</v>
      </c>
      <c r="O48" s="1" t="s">
        <v>42</v>
      </c>
      <c r="P48" s="1" t="s">
        <v>51</v>
      </c>
      <c r="Q48" s="1" t="s">
        <v>36</v>
      </c>
      <c r="R48" s="1">
        <v>81</v>
      </c>
      <c r="S48" s="1" t="s">
        <v>37</v>
      </c>
      <c r="T48" s="1">
        <v>4389</v>
      </c>
    </row>
    <row r="49" spans="1:20" ht="15.75" customHeight="1" x14ac:dyDescent="0.25">
      <c r="A49" s="1" t="s">
        <v>30</v>
      </c>
      <c r="B49" s="2">
        <v>45367</v>
      </c>
      <c r="C49" s="1" t="s">
        <v>31</v>
      </c>
      <c r="D49" s="1" t="s">
        <v>22</v>
      </c>
      <c r="E49" s="1" t="s">
        <v>24</v>
      </c>
      <c r="F49" s="1">
        <v>18474</v>
      </c>
      <c r="G49" s="1">
        <v>442</v>
      </c>
      <c r="H49" s="1">
        <v>54</v>
      </c>
      <c r="I49" s="1" t="s">
        <v>55</v>
      </c>
      <c r="J49" s="1">
        <v>18</v>
      </c>
      <c r="K49" s="1" t="s">
        <v>25</v>
      </c>
      <c r="L49" s="1">
        <v>0</v>
      </c>
      <c r="M49" s="1">
        <v>0</v>
      </c>
      <c r="O49" s="1" t="s">
        <v>42</v>
      </c>
      <c r="P49" s="1" t="s">
        <v>59</v>
      </c>
      <c r="Q49" s="1" t="s">
        <v>36</v>
      </c>
      <c r="R49" s="1">
        <v>98</v>
      </c>
      <c r="S49" s="1" t="s">
        <v>37</v>
      </c>
      <c r="T49" s="1">
        <v>809</v>
      </c>
    </row>
    <row r="50" spans="1:20" ht="15.75" customHeight="1" x14ac:dyDescent="0.25">
      <c r="A50" s="1" t="s">
        <v>94</v>
      </c>
      <c r="B50" s="2">
        <v>45746</v>
      </c>
      <c r="C50" s="1" t="s">
        <v>57</v>
      </c>
      <c r="D50" s="1" t="s">
        <v>45</v>
      </c>
      <c r="E50" s="1" t="s">
        <v>24</v>
      </c>
      <c r="F50" s="1">
        <v>8162</v>
      </c>
      <c r="G50" s="1">
        <v>2365</v>
      </c>
      <c r="H50" s="1">
        <v>19</v>
      </c>
      <c r="I50" s="1" t="s">
        <v>55</v>
      </c>
      <c r="J50" s="1">
        <v>5</v>
      </c>
      <c r="K50" s="1" t="s">
        <v>41</v>
      </c>
      <c r="L50" s="1">
        <v>756</v>
      </c>
      <c r="M50" s="1">
        <v>378</v>
      </c>
      <c r="O50" s="1" t="s">
        <v>26</v>
      </c>
      <c r="P50" s="1" t="s">
        <v>46</v>
      </c>
      <c r="Q50" s="1" t="s">
        <v>43</v>
      </c>
      <c r="R50" s="1">
        <v>100</v>
      </c>
      <c r="S50" s="1" t="s">
        <v>47</v>
      </c>
      <c r="T50" s="1">
        <v>2270</v>
      </c>
    </row>
    <row r="51" spans="1:20" ht="15.75" customHeight="1" x14ac:dyDescent="0.25">
      <c r="A51" s="1" t="s">
        <v>95</v>
      </c>
      <c r="B51" s="2">
        <v>45808</v>
      </c>
      <c r="C51" s="1" t="s">
        <v>57</v>
      </c>
      <c r="D51" s="1" t="s">
        <v>32</v>
      </c>
      <c r="E51" s="1" t="s">
        <v>50</v>
      </c>
      <c r="F51" s="1">
        <v>17819</v>
      </c>
      <c r="G51" s="1">
        <v>1266</v>
      </c>
      <c r="H51" s="1">
        <v>205</v>
      </c>
      <c r="I51" s="1" t="s">
        <v>24</v>
      </c>
      <c r="J51" s="1">
        <v>10</v>
      </c>
      <c r="K51" s="1" t="s">
        <v>25</v>
      </c>
      <c r="L51" s="1">
        <v>0</v>
      </c>
      <c r="M51" s="1">
        <v>0</v>
      </c>
      <c r="N51" s="1">
        <v>27</v>
      </c>
      <c r="O51" s="1" t="s">
        <v>42</v>
      </c>
      <c r="P51" s="1" t="s">
        <v>46</v>
      </c>
      <c r="Q51" s="1" t="s">
        <v>36</v>
      </c>
      <c r="R51" s="1">
        <v>44</v>
      </c>
      <c r="S51" s="1" t="s">
        <v>37</v>
      </c>
      <c r="T51" s="1">
        <v>1453</v>
      </c>
    </row>
    <row r="52" spans="1:20" ht="15.75" customHeight="1" x14ac:dyDescent="0.25">
      <c r="A52" s="1" t="s">
        <v>96</v>
      </c>
      <c r="B52" s="2">
        <v>45324</v>
      </c>
      <c r="C52" s="1" t="s">
        <v>57</v>
      </c>
      <c r="D52" s="1" t="s">
        <v>32</v>
      </c>
      <c r="E52" s="1" t="s">
        <v>23</v>
      </c>
      <c r="F52" s="1">
        <v>6830</v>
      </c>
      <c r="G52" s="1">
        <v>1133</v>
      </c>
      <c r="H52" s="1">
        <v>227</v>
      </c>
      <c r="I52" s="1" t="s">
        <v>58</v>
      </c>
      <c r="J52" s="1">
        <v>2</v>
      </c>
      <c r="K52" s="1" t="s">
        <v>41</v>
      </c>
      <c r="L52" s="1">
        <v>363</v>
      </c>
      <c r="M52" s="1">
        <v>181.5</v>
      </c>
      <c r="N52" s="1">
        <v>26</v>
      </c>
      <c r="O52" s="1" t="s">
        <v>42</v>
      </c>
      <c r="P52" s="1" t="s">
        <v>46</v>
      </c>
      <c r="Q52" s="1" t="s">
        <v>52</v>
      </c>
      <c r="R52" s="1">
        <v>78</v>
      </c>
      <c r="S52" s="1" t="s">
        <v>47</v>
      </c>
      <c r="T52" s="1">
        <v>4331</v>
      </c>
    </row>
    <row r="53" spans="1:20" ht="15.75" customHeight="1" x14ac:dyDescent="0.25">
      <c r="A53" s="1" t="s">
        <v>97</v>
      </c>
      <c r="B53" s="2">
        <v>45641</v>
      </c>
      <c r="C53" s="1" t="s">
        <v>31</v>
      </c>
      <c r="D53" s="1" t="s">
        <v>45</v>
      </c>
      <c r="E53" s="1" t="s">
        <v>50</v>
      </c>
      <c r="F53" s="1">
        <v>12640</v>
      </c>
      <c r="G53" s="1">
        <v>2709</v>
      </c>
      <c r="H53" s="1">
        <v>290</v>
      </c>
      <c r="I53" s="1" t="s">
        <v>34</v>
      </c>
      <c r="J53" s="1">
        <v>22</v>
      </c>
      <c r="K53" s="1" t="s">
        <v>41</v>
      </c>
      <c r="L53" s="1">
        <v>461</v>
      </c>
      <c r="M53" s="1">
        <v>230.5</v>
      </c>
      <c r="O53" s="1" t="s">
        <v>42</v>
      </c>
      <c r="P53" s="1" t="s">
        <v>46</v>
      </c>
      <c r="Q53" s="1" t="s">
        <v>43</v>
      </c>
      <c r="R53" s="1">
        <v>91</v>
      </c>
      <c r="S53" s="1" t="s">
        <v>29</v>
      </c>
      <c r="T53" s="1">
        <v>3848</v>
      </c>
    </row>
    <row r="54" spans="1:20" ht="15.75" customHeight="1" x14ac:dyDescent="0.25">
      <c r="A54" s="1" t="s">
        <v>98</v>
      </c>
      <c r="B54" s="2">
        <v>45385</v>
      </c>
      <c r="C54" s="1" t="s">
        <v>21</v>
      </c>
      <c r="D54" s="1" t="s">
        <v>45</v>
      </c>
      <c r="E54" s="1" t="s">
        <v>23</v>
      </c>
      <c r="F54" s="1">
        <v>6406</v>
      </c>
      <c r="G54" s="1">
        <v>4493</v>
      </c>
      <c r="H54" s="1">
        <v>227</v>
      </c>
      <c r="I54" s="1" t="s">
        <v>34</v>
      </c>
      <c r="J54" s="1">
        <v>5</v>
      </c>
      <c r="K54" s="1" t="s">
        <v>41</v>
      </c>
      <c r="L54" s="1">
        <v>685</v>
      </c>
      <c r="M54" s="1">
        <v>342.5</v>
      </c>
      <c r="N54" s="1">
        <v>35</v>
      </c>
      <c r="O54" s="1" t="s">
        <v>26</v>
      </c>
      <c r="P54" s="1" t="s">
        <v>35</v>
      </c>
      <c r="Q54" s="1" t="s">
        <v>52</v>
      </c>
      <c r="R54" s="1">
        <v>5</v>
      </c>
      <c r="S54" s="1" t="s">
        <v>47</v>
      </c>
      <c r="T54" s="1">
        <v>1222</v>
      </c>
    </row>
    <row r="55" spans="1:20" ht="15.75" customHeight="1" x14ac:dyDescent="0.25">
      <c r="A55" s="1" t="s">
        <v>65</v>
      </c>
      <c r="B55" s="2">
        <v>45650</v>
      </c>
      <c r="C55" s="1" t="s">
        <v>57</v>
      </c>
      <c r="D55" s="1" t="s">
        <v>22</v>
      </c>
      <c r="E55" s="1" t="s">
        <v>50</v>
      </c>
      <c r="F55" s="1">
        <v>3119</v>
      </c>
      <c r="G55" s="1">
        <v>2097</v>
      </c>
      <c r="H55" s="1">
        <v>175</v>
      </c>
      <c r="I55" s="1" t="s">
        <v>24</v>
      </c>
      <c r="J55" s="1">
        <v>25</v>
      </c>
      <c r="K55" s="1" t="s">
        <v>25</v>
      </c>
      <c r="L55" s="1">
        <v>0</v>
      </c>
      <c r="M55" s="1">
        <v>0</v>
      </c>
      <c r="N55" s="1">
        <v>32</v>
      </c>
      <c r="O55" s="1" t="s">
        <v>26</v>
      </c>
      <c r="P55" s="1" t="s">
        <v>59</v>
      </c>
      <c r="Q55" s="1" t="s">
        <v>43</v>
      </c>
      <c r="R55" s="1">
        <v>23</v>
      </c>
      <c r="S55" s="1" t="s">
        <v>37</v>
      </c>
      <c r="T55" s="1">
        <v>5210</v>
      </c>
    </row>
    <row r="56" spans="1:20" ht="15.75" customHeight="1" x14ac:dyDescent="0.25">
      <c r="A56" s="1" t="s">
        <v>95</v>
      </c>
      <c r="B56" s="2">
        <v>45339</v>
      </c>
      <c r="C56" s="1" t="s">
        <v>54</v>
      </c>
      <c r="D56" s="1" t="s">
        <v>32</v>
      </c>
      <c r="E56" s="1" t="s">
        <v>50</v>
      </c>
      <c r="F56" s="1">
        <v>4728</v>
      </c>
      <c r="G56" s="1">
        <v>2559</v>
      </c>
      <c r="H56" s="1">
        <v>25</v>
      </c>
      <c r="I56" s="1" t="s">
        <v>55</v>
      </c>
      <c r="J56" s="1">
        <v>31</v>
      </c>
      <c r="K56" s="1" t="s">
        <v>25</v>
      </c>
      <c r="L56" s="1">
        <v>0</v>
      </c>
      <c r="M56" s="1">
        <v>0</v>
      </c>
      <c r="N56" s="1">
        <v>34</v>
      </c>
      <c r="O56" s="1" t="s">
        <v>42</v>
      </c>
      <c r="P56" s="1" t="s">
        <v>27</v>
      </c>
      <c r="Q56" s="1" t="s">
        <v>43</v>
      </c>
      <c r="R56" s="1">
        <v>47</v>
      </c>
      <c r="S56" s="1" t="s">
        <v>37</v>
      </c>
      <c r="T56" s="1">
        <v>1350</v>
      </c>
    </row>
    <row r="57" spans="1:20" ht="15.75" customHeight="1" x14ac:dyDescent="0.25">
      <c r="A57" s="1" t="s">
        <v>71</v>
      </c>
      <c r="B57" s="2">
        <v>45496</v>
      </c>
      <c r="C57" s="1" t="s">
        <v>54</v>
      </c>
      <c r="D57" s="1" t="s">
        <v>22</v>
      </c>
      <c r="E57" s="1" t="s">
        <v>23</v>
      </c>
      <c r="F57" s="1">
        <v>5587</v>
      </c>
      <c r="G57" s="1">
        <v>2110</v>
      </c>
      <c r="H57" s="1">
        <v>238</v>
      </c>
      <c r="I57" s="1" t="s">
        <v>58</v>
      </c>
      <c r="J57" s="1">
        <v>4</v>
      </c>
      <c r="K57" s="1" t="s">
        <v>25</v>
      </c>
      <c r="L57" s="1">
        <v>0</v>
      </c>
      <c r="M57" s="1">
        <v>0</v>
      </c>
      <c r="O57" s="1" t="s">
        <v>26</v>
      </c>
      <c r="P57" s="1" t="s">
        <v>27</v>
      </c>
      <c r="Q57" s="1" t="s">
        <v>43</v>
      </c>
      <c r="R57" s="1">
        <v>81</v>
      </c>
      <c r="S57" s="1" t="s">
        <v>37</v>
      </c>
      <c r="T57" s="1">
        <v>2240</v>
      </c>
    </row>
    <row r="58" spans="1:20" ht="15.75" customHeight="1" x14ac:dyDescent="0.25">
      <c r="A58" s="1" t="s">
        <v>94</v>
      </c>
      <c r="B58" s="2">
        <v>45436</v>
      </c>
      <c r="C58" s="1" t="s">
        <v>31</v>
      </c>
      <c r="D58" s="1" t="s">
        <v>49</v>
      </c>
      <c r="E58" s="1" t="s">
        <v>23</v>
      </c>
      <c r="F58" s="1">
        <v>774</v>
      </c>
      <c r="G58" s="1">
        <v>2351</v>
      </c>
      <c r="H58" s="1">
        <v>275</v>
      </c>
      <c r="I58" s="1" t="s">
        <v>24</v>
      </c>
      <c r="J58" s="1">
        <v>2</v>
      </c>
      <c r="K58" s="1" t="s">
        <v>25</v>
      </c>
      <c r="L58" s="1">
        <v>0</v>
      </c>
      <c r="M58" s="1">
        <v>0</v>
      </c>
      <c r="O58" s="1" t="s">
        <v>42</v>
      </c>
      <c r="P58" s="1" t="s">
        <v>51</v>
      </c>
      <c r="Q58" s="1" t="s">
        <v>52</v>
      </c>
      <c r="R58" s="1">
        <v>94</v>
      </c>
      <c r="S58" s="1" t="s">
        <v>29</v>
      </c>
      <c r="T58" s="1">
        <v>1915</v>
      </c>
    </row>
    <row r="59" spans="1:20" ht="15.75" customHeight="1" x14ac:dyDescent="0.25">
      <c r="A59" s="1" t="s">
        <v>99</v>
      </c>
      <c r="B59" s="2">
        <v>45621</v>
      </c>
      <c r="C59" s="1" t="s">
        <v>21</v>
      </c>
      <c r="D59" s="1" t="s">
        <v>49</v>
      </c>
      <c r="E59" s="1" t="s">
        <v>50</v>
      </c>
      <c r="F59" s="1">
        <v>19060</v>
      </c>
      <c r="G59" s="1">
        <v>2666</v>
      </c>
      <c r="H59" s="1">
        <v>211</v>
      </c>
      <c r="I59" s="1" t="s">
        <v>24</v>
      </c>
      <c r="J59" s="1">
        <v>26</v>
      </c>
      <c r="K59" s="1" t="s">
        <v>41</v>
      </c>
      <c r="L59" s="1">
        <v>145</v>
      </c>
      <c r="M59" s="1">
        <v>72.5</v>
      </c>
      <c r="O59" s="1" t="s">
        <v>26</v>
      </c>
      <c r="P59" s="1" t="s">
        <v>51</v>
      </c>
      <c r="Q59" s="1" t="s">
        <v>52</v>
      </c>
      <c r="R59" s="1">
        <v>12</v>
      </c>
      <c r="S59" s="1" t="s">
        <v>29</v>
      </c>
      <c r="T59" s="1">
        <v>392</v>
      </c>
    </row>
    <row r="60" spans="1:20" ht="15.75" customHeight="1" x14ac:dyDescent="0.25">
      <c r="A60" s="1" t="s">
        <v>100</v>
      </c>
      <c r="B60" s="2">
        <v>45688</v>
      </c>
      <c r="C60" s="1" t="s">
        <v>57</v>
      </c>
      <c r="D60" s="1" t="s">
        <v>22</v>
      </c>
      <c r="E60" s="1" t="s">
        <v>24</v>
      </c>
      <c r="F60" s="1">
        <v>13763</v>
      </c>
      <c r="G60" s="1">
        <v>4098</v>
      </c>
      <c r="H60" s="1">
        <v>113</v>
      </c>
      <c r="I60" s="1" t="s">
        <v>34</v>
      </c>
      <c r="J60" s="1">
        <v>37</v>
      </c>
      <c r="K60" s="1" t="s">
        <v>41</v>
      </c>
      <c r="L60" s="1">
        <v>765</v>
      </c>
      <c r="M60" s="1">
        <v>765</v>
      </c>
      <c r="N60" s="1">
        <v>38</v>
      </c>
      <c r="O60" s="1" t="s">
        <v>26</v>
      </c>
      <c r="P60" s="1" t="s">
        <v>46</v>
      </c>
      <c r="Q60" s="1" t="s">
        <v>36</v>
      </c>
      <c r="R60" s="1">
        <v>13</v>
      </c>
      <c r="S60" s="1" t="s">
        <v>29</v>
      </c>
      <c r="T60" s="1">
        <v>2970</v>
      </c>
    </row>
    <row r="61" spans="1:20" ht="15.75" customHeight="1" x14ac:dyDescent="0.25">
      <c r="A61" s="1" t="s">
        <v>64</v>
      </c>
      <c r="B61" s="2">
        <v>45611</v>
      </c>
      <c r="C61" s="1" t="s">
        <v>57</v>
      </c>
      <c r="D61" s="1" t="s">
        <v>32</v>
      </c>
      <c r="E61" s="1" t="s">
        <v>24</v>
      </c>
      <c r="F61" s="1">
        <v>8030</v>
      </c>
      <c r="G61" s="1">
        <v>3404</v>
      </c>
      <c r="H61" s="1">
        <v>139</v>
      </c>
      <c r="I61" s="1" t="s">
        <v>63</v>
      </c>
      <c r="J61" s="1">
        <v>20</v>
      </c>
      <c r="K61" s="1" t="s">
        <v>25</v>
      </c>
      <c r="L61" s="1">
        <v>0</v>
      </c>
      <c r="M61" s="1">
        <v>0</v>
      </c>
      <c r="N61" s="1">
        <v>55</v>
      </c>
      <c r="O61" s="1" t="s">
        <v>42</v>
      </c>
      <c r="P61" s="1" t="s">
        <v>46</v>
      </c>
      <c r="Q61" s="1" t="s">
        <v>36</v>
      </c>
      <c r="R61" s="1">
        <v>46</v>
      </c>
      <c r="S61" s="1" t="s">
        <v>29</v>
      </c>
      <c r="T61" s="1">
        <v>3879</v>
      </c>
    </row>
    <row r="62" spans="1:20" ht="15.75" customHeight="1" x14ac:dyDescent="0.25">
      <c r="A62" s="1" t="s">
        <v>101</v>
      </c>
      <c r="B62" s="2">
        <v>45546</v>
      </c>
      <c r="C62" s="1" t="s">
        <v>21</v>
      </c>
      <c r="D62" s="1" t="s">
        <v>22</v>
      </c>
      <c r="E62" s="1" t="s">
        <v>24</v>
      </c>
      <c r="F62" s="1">
        <v>6227</v>
      </c>
      <c r="G62" s="1">
        <v>4181</v>
      </c>
      <c r="H62" s="1">
        <v>187</v>
      </c>
      <c r="I62" s="1" t="s">
        <v>63</v>
      </c>
      <c r="J62" s="1">
        <v>29</v>
      </c>
      <c r="K62" s="1" t="s">
        <v>41</v>
      </c>
      <c r="L62" s="1">
        <v>693</v>
      </c>
      <c r="M62" s="1">
        <v>231</v>
      </c>
      <c r="O62" s="1" t="s">
        <v>26</v>
      </c>
      <c r="P62" s="1" t="s">
        <v>27</v>
      </c>
      <c r="Q62" s="1" t="s">
        <v>28</v>
      </c>
      <c r="R62" s="1">
        <v>48</v>
      </c>
      <c r="S62" s="1" t="s">
        <v>29</v>
      </c>
      <c r="T62" s="1">
        <v>2661</v>
      </c>
    </row>
    <row r="63" spans="1:20" ht="15.75" customHeight="1" x14ac:dyDescent="0.25">
      <c r="A63" s="1" t="s">
        <v>102</v>
      </c>
      <c r="B63" s="2">
        <v>45671</v>
      </c>
      <c r="C63" s="1" t="s">
        <v>31</v>
      </c>
      <c r="D63" s="1" t="s">
        <v>32</v>
      </c>
      <c r="E63" s="1" t="s">
        <v>24</v>
      </c>
      <c r="F63" s="1">
        <v>1887</v>
      </c>
      <c r="G63" s="1">
        <v>3471</v>
      </c>
      <c r="H63" s="1">
        <v>202</v>
      </c>
      <c r="I63" s="1" t="s">
        <v>40</v>
      </c>
      <c r="J63" s="1">
        <v>21</v>
      </c>
      <c r="K63" s="1" t="s">
        <v>41</v>
      </c>
      <c r="L63" s="1">
        <v>855</v>
      </c>
      <c r="M63" s="1">
        <v>427.5</v>
      </c>
      <c r="N63" s="1">
        <v>28</v>
      </c>
      <c r="O63" s="1" t="s">
        <v>42</v>
      </c>
      <c r="P63" s="1" t="s">
        <v>59</v>
      </c>
      <c r="Q63" s="1" t="s">
        <v>52</v>
      </c>
      <c r="R63" s="1">
        <v>57</v>
      </c>
      <c r="S63" s="1" t="s">
        <v>47</v>
      </c>
      <c r="T63" s="1">
        <v>2406</v>
      </c>
    </row>
    <row r="64" spans="1:20" ht="15.75" customHeight="1" x14ac:dyDescent="0.25">
      <c r="A64" s="1" t="s">
        <v>103</v>
      </c>
      <c r="B64" s="2">
        <v>45660</v>
      </c>
      <c r="C64" s="1" t="s">
        <v>31</v>
      </c>
      <c r="D64" s="1" t="s">
        <v>22</v>
      </c>
      <c r="E64" s="1" t="s">
        <v>24</v>
      </c>
      <c r="F64" s="1">
        <v>5521</v>
      </c>
      <c r="G64" s="1">
        <v>781</v>
      </c>
      <c r="H64" s="1">
        <v>170</v>
      </c>
      <c r="I64" s="1" t="s">
        <v>55</v>
      </c>
      <c r="J64" s="1">
        <v>24</v>
      </c>
      <c r="K64" s="1" t="s">
        <v>41</v>
      </c>
      <c r="L64" s="1">
        <v>407</v>
      </c>
      <c r="M64" s="1">
        <v>135.66999999999999</v>
      </c>
      <c r="N64" s="1">
        <v>44</v>
      </c>
      <c r="O64" s="1" t="s">
        <v>42</v>
      </c>
      <c r="P64" s="1" t="s">
        <v>27</v>
      </c>
      <c r="Q64" s="1" t="s">
        <v>52</v>
      </c>
      <c r="R64" s="1">
        <v>99</v>
      </c>
      <c r="S64" s="1" t="s">
        <v>47</v>
      </c>
      <c r="T64" s="1">
        <v>5810</v>
      </c>
    </row>
    <row r="65" spans="1:20" ht="15.75" customHeight="1" x14ac:dyDescent="0.25">
      <c r="A65" s="1" t="s">
        <v>104</v>
      </c>
      <c r="B65" s="2">
        <v>45472</v>
      </c>
      <c r="C65" s="1" t="s">
        <v>57</v>
      </c>
      <c r="D65" s="1" t="s">
        <v>49</v>
      </c>
      <c r="E65" s="1" t="s">
        <v>24</v>
      </c>
      <c r="F65" s="1">
        <v>6876</v>
      </c>
      <c r="G65" s="1">
        <v>4019</v>
      </c>
      <c r="H65" s="1">
        <v>69</v>
      </c>
      <c r="I65" s="1" t="s">
        <v>24</v>
      </c>
      <c r="J65" s="1">
        <v>18</v>
      </c>
      <c r="K65" s="1" t="s">
        <v>41</v>
      </c>
      <c r="L65" s="1">
        <v>285</v>
      </c>
      <c r="M65" s="1">
        <v>142.5</v>
      </c>
      <c r="O65" s="1" t="s">
        <v>26</v>
      </c>
      <c r="P65" s="1" t="s">
        <v>27</v>
      </c>
      <c r="Q65" s="1" t="s">
        <v>36</v>
      </c>
      <c r="R65" s="1">
        <v>54</v>
      </c>
      <c r="S65" s="1" t="s">
        <v>29</v>
      </c>
      <c r="T65" s="1">
        <v>4097</v>
      </c>
    </row>
    <row r="66" spans="1:20" ht="15.75" customHeight="1" x14ac:dyDescent="0.25">
      <c r="A66" s="1" t="s">
        <v>101</v>
      </c>
      <c r="B66" s="2">
        <v>45573</v>
      </c>
      <c r="C66" s="1" t="s">
        <v>39</v>
      </c>
      <c r="D66" s="1" t="s">
        <v>49</v>
      </c>
      <c r="E66" s="1" t="s">
        <v>23</v>
      </c>
      <c r="F66" s="1">
        <v>11528</v>
      </c>
      <c r="G66" s="1">
        <v>3448</v>
      </c>
      <c r="H66" s="1">
        <v>261</v>
      </c>
      <c r="I66" s="1" t="s">
        <v>55</v>
      </c>
      <c r="J66" s="1">
        <v>33</v>
      </c>
      <c r="K66" s="1" t="s">
        <v>25</v>
      </c>
      <c r="L66" s="1">
        <v>0</v>
      </c>
      <c r="M66" s="1">
        <v>0</v>
      </c>
      <c r="O66" s="1" t="s">
        <v>42</v>
      </c>
      <c r="P66" s="1" t="s">
        <v>51</v>
      </c>
      <c r="Q66" s="1" t="s">
        <v>36</v>
      </c>
      <c r="R66" s="1">
        <v>60</v>
      </c>
      <c r="S66" s="1" t="s">
        <v>37</v>
      </c>
      <c r="T66" s="1">
        <v>2282</v>
      </c>
    </row>
    <row r="67" spans="1:20" ht="15.75" customHeight="1" x14ac:dyDescent="0.25">
      <c r="A67" s="1" t="s">
        <v>105</v>
      </c>
      <c r="B67" s="2">
        <v>45405</v>
      </c>
      <c r="C67" s="1" t="s">
        <v>31</v>
      </c>
      <c r="D67" s="1" t="s">
        <v>45</v>
      </c>
      <c r="E67" s="1" t="s">
        <v>23</v>
      </c>
      <c r="F67" s="1">
        <v>5632</v>
      </c>
      <c r="G67" s="1">
        <v>2800</v>
      </c>
      <c r="H67" s="1">
        <v>230</v>
      </c>
      <c r="I67" s="1" t="s">
        <v>63</v>
      </c>
      <c r="J67" s="1">
        <v>36</v>
      </c>
      <c r="K67" s="1" t="s">
        <v>25</v>
      </c>
      <c r="L67" s="1">
        <v>0</v>
      </c>
      <c r="M67" s="1">
        <v>0</v>
      </c>
      <c r="N67" s="1">
        <v>46</v>
      </c>
      <c r="O67" s="1" t="s">
        <v>42</v>
      </c>
      <c r="P67" s="1" t="s">
        <v>51</v>
      </c>
      <c r="Q67" s="1" t="s">
        <v>52</v>
      </c>
      <c r="R67" s="1">
        <v>80</v>
      </c>
      <c r="S67" s="1" t="s">
        <v>37</v>
      </c>
      <c r="T67" s="1">
        <v>1372</v>
      </c>
    </row>
    <row r="68" spans="1:20" ht="15.75" customHeight="1" x14ac:dyDescent="0.25">
      <c r="A68" s="1" t="s">
        <v>106</v>
      </c>
      <c r="B68" s="2">
        <v>45802</v>
      </c>
      <c r="C68" s="1" t="s">
        <v>57</v>
      </c>
      <c r="D68" s="1" t="s">
        <v>32</v>
      </c>
      <c r="E68" s="1" t="s">
        <v>33</v>
      </c>
      <c r="F68" s="1">
        <v>4970</v>
      </c>
      <c r="G68" s="1">
        <v>4865</v>
      </c>
      <c r="H68" s="1">
        <v>159</v>
      </c>
      <c r="I68" s="1" t="s">
        <v>34</v>
      </c>
      <c r="J68" s="1">
        <v>2</v>
      </c>
      <c r="K68" s="1" t="s">
        <v>25</v>
      </c>
      <c r="L68" s="1">
        <v>0</v>
      </c>
      <c r="M68" s="1">
        <v>0</v>
      </c>
      <c r="N68" s="1">
        <v>42</v>
      </c>
      <c r="O68" s="1" t="s">
        <v>26</v>
      </c>
      <c r="P68" s="1" t="s">
        <v>51</v>
      </c>
      <c r="Q68" s="1" t="s">
        <v>43</v>
      </c>
      <c r="R68" s="1">
        <v>49</v>
      </c>
      <c r="S68" s="1" t="s">
        <v>47</v>
      </c>
      <c r="T68" s="1">
        <v>5722</v>
      </c>
    </row>
    <row r="69" spans="1:20" ht="15.75" customHeight="1" x14ac:dyDescent="0.25">
      <c r="A69" s="1" t="s">
        <v>107</v>
      </c>
      <c r="B69" s="2">
        <v>45421</v>
      </c>
      <c r="C69" s="1" t="s">
        <v>31</v>
      </c>
      <c r="D69" s="1" t="s">
        <v>32</v>
      </c>
      <c r="E69" s="1" t="s">
        <v>50</v>
      </c>
      <c r="F69" s="1">
        <v>5686</v>
      </c>
      <c r="G69" s="1">
        <v>1321</v>
      </c>
      <c r="H69" s="1">
        <v>179</v>
      </c>
      <c r="I69" s="1" t="s">
        <v>40</v>
      </c>
      <c r="J69" s="1">
        <v>12</v>
      </c>
      <c r="K69" s="1" t="s">
        <v>41</v>
      </c>
      <c r="L69" s="1">
        <v>527</v>
      </c>
      <c r="M69" s="1">
        <v>175.67</v>
      </c>
      <c r="N69" s="1">
        <v>45</v>
      </c>
      <c r="O69" s="1" t="s">
        <v>26</v>
      </c>
      <c r="P69" s="1" t="s">
        <v>51</v>
      </c>
      <c r="Q69" s="1" t="s">
        <v>28</v>
      </c>
      <c r="R69" s="1">
        <v>91</v>
      </c>
      <c r="S69" s="1" t="s">
        <v>47</v>
      </c>
      <c r="T69" s="1">
        <v>3157</v>
      </c>
    </row>
    <row r="70" spans="1:20" ht="15.75" customHeight="1" x14ac:dyDescent="0.25">
      <c r="A70" s="1" t="s">
        <v>94</v>
      </c>
      <c r="B70" s="2">
        <v>45787</v>
      </c>
      <c r="C70" s="1" t="s">
        <v>54</v>
      </c>
      <c r="D70" s="1" t="s">
        <v>45</v>
      </c>
      <c r="E70" s="1" t="s">
        <v>33</v>
      </c>
      <c r="F70" s="1">
        <v>14917</v>
      </c>
      <c r="G70" s="1">
        <v>2833</v>
      </c>
      <c r="H70" s="1">
        <v>192</v>
      </c>
      <c r="I70" s="1" t="s">
        <v>24</v>
      </c>
      <c r="J70" s="1">
        <v>34</v>
      </c>
      <c r="K70" s="1" t="s">
        <v>25</v>
      </c>
      <c r="L70" s="1">
        <v>0</v>
      </c>
      <c r="M70" s="1">
        <v>0</v>
      </c>
      <c r="N70" s="1">
        <v>60</v>
      </c>
      <c r="O70" s="1" t="s">
        <v>42</v>
      </c>
      <c r="P70" s="1" t="s">
        <v>35</v>
      </c>
      <c r="Q70" s="1" t="s">
        <v>36</v>
      </c>
      <c r="R70" s="1">
        <v>57</v>
      </c>
      <c r="S70" s="1" t="s">
        <v>47</v>
      </c>
      <c r="T70" s="1">
        <v>3282</v>
      </c>
    </row>
    <row r="71" spans="1:20" ht="15.75" customHeight="1" x14ac:dyDescent="0.25">
      <c r="A71" s="1" t="s">
        <v>108</v>
      </c>
      <c r="B71" s="2">
        <v>45503</v>
      </c>
      <c r="C71" s="1" t="s">
        <v>31</v>
      </c>
      <c r="D71" s="1" t="s">
        <v>22</v>
      </c>
      <c r="E71" s="1" t="s">
        <v>50</v>
      </c>
      <c r="F71" s="1">
        <v>2493</v>
      </c>
      <c r="G71" s="1">
        <v>3078</v>
      </c>
      <c r="H71" s="1">
        <v>114</v>
      </c>
      <c r="I71" s="1" t="s">
        <v>40</v>
      </c>
      <c r="J71" s="1">
        <v>28</v>
      </c>
      <c r="K71" s="1" t="s">
        <v>41</v>
      </c>
      <c r="L71" s="1">
        <v>883</v>
      </c>
      <c r="M71" s="1">
        <v>441.5</v>
      </c>
      <c r="O71" s="1" t="s">
        <v>26</v>
      </c>
      <c r="P71" s="1" t="s">
        <v>46</v>
      </c>
      <c r="Q71" s="1" t="s">
        <v>43</v>
      </c>
      <c r="R71" s="1">
        <v>90</v>
      </c>
      <c r="S71" s="1" t="s">
        <v>47</v>
      </c>
      <c r="T71" s="1">
        <v>3442</v>
      </c>
    </row>
    <row r="72" spans="1:20" ht="15.75" customHeight="1" x14ac:dyDescent="0.25">
      <c r="A72" s="1" t="s">
        <v>109</v>
      </c>
      <c r="B72" s="2">
        <v>45527</v>
      </c>
      <c r="C72" s="1" t="s">
        <v>21</v>
      </c>
      <c r="D72" s="1" t="s">
        <v>45</v>
      </c>
      <c r="E72" s="1" t="s">
        <v>33</v>
      </c>
      <c r="F72" s="1">
        <v>17699</v>
      </c>
      <c r="G72" s="1">
        <v>967</v>
      </c>
      <c r="H72" s="1">
        <v>128</v>
      </c>
      <c r="I72" s="1" t="s">
        <v>34</v>
      </c>
      <c r="J72" s="1">
        <v>35</v>
      </c>
      <c r="K72" s="1" t="s">
        <v>25</v>
      </c>
      <c r="L72" s="1">
        <v>0</v>
      </c>
      <c r="M72" s="1">
        <v>0</v>
      </c>
      <c r="O72" s="1" t="s">
        <v>26</v>
      </c>
      <c r="P72" s="1" t="s">
        <v>51</v>
      </c>
      <c r="Q72" s="1" t="s">
        <v>36</v>
      </c>
      <c r="R72" s="1">
        <v>22</v>
      </c>
      <c r="S72" s="1" t="s">
        <v>47</v>
      </c>
      <c r="T72" s="1">
        <v>4643</v>
      </c>
    </row>
    <row r="73" spans="1:20" ht="15.75" customHeight="1" x14ac:dyDescent="0.25">
      <c r="A73" s="1" t="s">
        <v>110</v>
      </c>
      <c r="B73" s="2">
        <v>45588</v>
      </c>
      <c r="C73" s="1" t="s">
        <v>21</v>
      </c>
      <c r="D73" s="1" t="s">
        <v>49</v>
      </c>
      <c r="E73" s="1" t="s">
        <v>24</v>
      </c>
      <c r="F73" s="1">
        <v>9926</v>
      </c>
      <c r="G73" s="1">
        <v>2117</v>
      </c>
      <c r="H73" s="1">
        <v>185</v>
      </c>
      <c r="I73" s="1" t="s">
        <v>58</v>
      </c>
      <c r="J73" s="1">
        <v>5</v>
      </c>
      <c r="K73" s="1" t="s">
        <v>25</v>
      </c>
      <c r="L73" s="1">
        <v>0</v>
      </c>
      <c r="M73" s="1">
        <v>0</v>
      </c>
      <c r="N73" s="1">
        <v>64</v>
      </c>
      <c r="O73" s="1" t="s">
        <v>42</v>
      </c>
      <c r="P73" s="1" t="s">
        <v>59</v>
      </c>
      <c r="Q73" s="1" t="s">
        <v>43</v>
      </c>
      <c r="R73" s="1">
        <v>1</v>
      </c>
      <c r="S73" s="1" t="s">
        <v>37</v>
      </c>
      <c r="T73" s="1">
        <v>2882</v>
      </c>
    </row>
    <row r="74" spans="1:20" ht="15.75" customHeight="1" x14ac:dyDescent="0.25">
      <c r="A74" s="1" t="s">
        <v>89</v>
      </c>
      <c r="B74" s="2">
        <v>45457</v>
      </c>
      <c r="C74" s="1" t="s">
        <v>21</v>
      </c>
      <c r="D74" s="1" t="s">
        <v>49</v>
      </c>
      <c r="E74" s="1" t="s">
        <v>33</v>
      </c>
      <c r="F74" s="1">
        <v>5612</v>
      </c>
      <c r="G74" s="1">
        <v>999</v>
      </c>
      <c r="H74" s="1">
        <v>197</v>
      </c>
      <c r="I74" s="1" t="s">
        <v>34</v>
      </c>
      <c r="J74" s="1">
        <v>12</v>
      </c>
      <c r="K74" s="1" t="s">
        <v>41</v>
      </c>
      <c r="L74" s="1">
        <v>655</v>
      </c>
      <c r="M74" s="1">
        <v>218.33</v>
      </c>
      <c r="O74" s="1" t="s">
        <v>42</v>
      </c>
      <c r="P74" s="1" t="s">
        <v>35</v>
      </c>
      <c r="Q74" s="1" t="s">
        <v>52</v>
      </c>
      <c r="R74" s="1">
        <v>46</v>
      </c>
      <c r="S74" s="1" t="s">
        <v>37</v>
      </c>
      <c r="T74" s="1">
        <v>4798</v>
      </c>
    </row>
    <row r="75" spans="1:20" ht="15.75" customHeight="1" x14ac:dyDescent="0.25">
      <c r="A75" s="1" t="s">
        <v>111</v>
      </c>
      <c r="B75" s="2">
        <v>45674</v>
      </c>
      <c r="C75" s="1" t="s">
        <v>57</v>
      </c>
      <c r="D75" s="1" t="s">
        <v>32</v>
      </c>
      <c r="E75" s="1" t="s">
        <v>50</v>
      </c>
      <c r="F75" s="1">
        <v>14179</v>
      </c>
      <c r="G75" s="1">
        <v>4146</v>
      </c>
      <c r="H75" s="1">
        <v>77</v>
      </c>
      <c r="I75" s="1" t="s">
        <v>55</v>
      </c>
      <c r="J75" s="1">
        <v>3</v>
      </c>
      <c r="K75" s="1" t="s">
        <v>25</v>
      </c>
      <c r="L75" s="1">
        <v>0</v>
      </c>
      <c r="M75" s="1">
        <v>0</v>
      </c>
      <c r="N75" s="1">
        <v>22</v>
      </c>
      <c r="O75" s="1" t="s">
        <v>26</v>
      </c>
      <c r="P75" s="1" t="s">
        <v>27</v>
      </c>
      <c r="Q75" s="1" t="s">
        <v>28</v>
      </c>
      <c r="R75" s="1">
        <v>7</v>
      </c>
      <c r="S75" s="1" t="s">
        <v>47</v>
      </c>
      <c r="T75" s="1">
        <v>4820</v>
      </c>
    </row>
    <row r="76" spans="1:20" ht="15.75" customHeight="1" x14ac:dyDescent="0.25">
      <c r="A76" s="1" t="s">
        <v>112</v>
      </c>
      <c r="B76" s="2">
        <v>45619</v>
      </c>
      <c r="C76" s="1" t="s">
        <v>21</v>
      </c>
      <c r="D76" s="1" t="s">
        <v>22</v>
      </c>
      <c r="E76" s="1" t="s">
        <v>23</v>
      </c>
      <c r="F76" s="1">
        <v>7999</v>
      </c>
      <c r="G76" s="1">
        <v>1150</v>
      </c>
      <c r="H76" s="1">
        <v>42</v>
      </c>
      <c r="I76" s="1" t="s">
        <v>55</v>
      </c>
      <c r="J76" s="1">
        <v>10</v>
      </c>
      <c r="K76" s="1" t="s">
        <v>25</v>
      </c>
      <c r="L76" s="1">
        <v>0</v>
      </c>
      <c r="M76" s="1">
        <v>0</v>
      </c>
      <c r="N76" s="1">
        <v>47</v>
      </c>
      <c r="O76" s="1" t="s">
        <v>42</v>
      </c>
      <c r="P76" s="1" t="s">
        <v>35</v>
      </c>
      <c r="Q76" s="1" t="s">
        <v>36</v>
      </c>
      <c r="R76" s="1">
        <v>29</v>
      </c>
      <c r="S76" s="1" t="s">
        <v>47</v>
      </c>
      <c r="T76" s="1">
        <v>5140</v>
      </c>
    </row>
    <row r="77" spans="1:20" ht="15.75" customHeight="1" x14ac:dyDescent="0.25">
      <c r="A77" s="1" t="s">
        <v>113</v>
      </c>
      <c r="B77" s="2">
        <v>45477</v>
      </c>
      <c r="C77" s="1" t="s">
        <v>57</v>
      </c>
      <c r="D77" s="1" t="s">
        <v>45</v>
      </c>
      <c r="E77" s="1" t="s">
        <v>23</v>
      </c>
      <c r="F77" s="1">
        <v>18430</v>
      </c>
      <c r="G77" s="1">
        <v>1106</v>
      </c>
      <c r="H77" s="1">
        <v>116</v>
      </c>
      <c r="I77" s="1" t="s">
        <v>58</v>
      </c>
      <c r="J77" s="1">
        <v>5</v>
      </c>
      <c r="K77" s="1" t="s">
        <v>41</v>
      </c>
      <c r="L77" s="1">
        <v>457</v>
      </c>
      <c r="M77" s="1">
        <v>152.33000000000001</v>
      </c>
      <c r="O77" s="1" t="s">
        <v>26</v>
      </c>
      <c r="P77" s="1" t="s">
        <v>59</v>
      </c>
      <c r="Q77" s="1" t="s">
        <v>52</v>
      </c>
      <c r="R77" s="1">
        <v>70</v>
      </c>
      <c r="S77" s="1" t="s">
        <v>37</v>
      </c>
      <c r="T77" s="1">
        <v>4912</v>
      </c>
    </row>
    <row r="78" spans="1:20" ht="15.75" customHeight="1" x14ac:dyDescent="0.25">
      <c r="A78" s="1" t="s">
        <v>114</v>
      </c>
      <c r="B78" s="2">
        <v>45601</v>
      </c>
      <c r="C78" s="1" t="s">
        <v>57</v>
      </c>
      <c r="D78" s="1" t="s">
        <v>49</v>
      </c>
      <c r="E78" s="1" t="s">
        <v>33</v>
      </c>
      <c r="F78" s="1">
        <v>690</v>
      </c>
      <c r="G78" s="1">
        <v>4189</v>
      </c>
      <c r="H78" s="1">
        <v>264</v>
      </c>
      <c r="I78" s="1" t="s">
        <v>63</v>
      </c>
      <c r="J78" s="1">
        <v>24</v>
      </c>
      <c r="K78" s="1" t="s">
        <v>25</v>
      </c>
      <c r="L78" s="1">
        <v>0</v>
      </c>
      <c r="M78" s="1">
        <v>0</v>
      </c>
      <c r="O78" s="1" t="s">
        <v>42</v>
      </c>
      <c r="P78" s="1" t="s">
        <v>27</v>
      </c>
      <c r="Q78" s="1" t="s">
        <v>52</v>
      </c>
      <c r="R78" s="1">
        <v>4</v>
      </c>
      <c r="S78" s="1" t="s">
        <v>37</v>
      </c>
      <c r="T78" s="1">
        <v>1161</v>
      </c>
    </row>
    <row r="79" spans="1:20" ht="15.75" customHeight="1" x14ac:dyDescent="0.25">
      <c r="A79" s="1" t="s">
        <v>115</v>
      </c>
      <c r="B79" s="2">
        <v>45469</v>
      </c>
      <c r="C79" s="1" t="s">
        <v>57</v>
      </c>
      <c r="D79" s="1" t="s">
        <v>45</v>
      </c>
      <c r="E79" s="1" t="s">
        <v>24</v>
      </c>
      <c r="F79" s="1">
        <v>6827</v>
      </c>
      <c r="G79" s="1">
        <v>2626</v>
      </c>
      <c r="H79" s="1">
        <v>144</v>
      </c>
      <c r="I79" s="1" t="s">
        <v>24</v>
      </c>
      <c r="J79" s="1">
        <v>15</v>
      </c>
      <c r="K79" s="1" t="s">
        <v>25</v>
      </c>
      <c r="L79" s="1">
        <v>0</v>
      </c>
      <c r="M79" s="1">
        <v>0</v>
      </c>
      <c r="O79" s="1" t="s">
        <v>42</v>
      </c>
      <c r="P79" s="1" t="s">
        <v>51</v>
      </c>
      <c r="Q79" s="1" t="s">
        <v>43</v>
      </c>
      <c r="R79" s="1">
        <v>2</v>
      </c>
      <c r="S79" s="1" t="s">
        <v>37</v>
      </c>
      <c r="T79" s="1">
        <v>3504</v>
      </c>
    </row>
    <row r="80" spans="1:20" ht="15.75" customHeight="1" x14ac:dyDescent="0.25">
      <c r="A80" s="1" t="s">
        <v>83</v>
      </c>
      <c r="B80" s="2">
        <v>45671</v>
      </c>
      <c r="C80" s="1" t="s">
        <v>21</v>
      </c>
      <c r="D80" s="1" t="s">
        <v>22</v>
      </c>
      <c r="E80" s="1" t="s">
        <v>23</v>
      </c>
      <c r="F80" s="1">
        <v>1597</v>
      </c>
      <c r="G80" s="1">
        <v>4330</v>
      </c>
      <c r="H80" s="1">
        <v>142</v>
      </c>
      <c r="I80" s="1" t="s">
        <v>58</v>
      </c>
      <c r="J80" s="1">
        <v>30</v>
      </c>
      <c r="K80" s="1" t="s">
        <v>41</v>
      </c>
      <c r="L80" s="1">
        <v>803</v>
      </c>
      <c r="M80" s="1">
        <v>803</v>
      </c>
      <c r="O80" s="1" t="s">
        <v>42</v>
      </c>
      <c r="P80" s="1" t="s">
        <v>35</v>
      </c>
      <c r="Q80" s="1" t="s">
        <v>43</v>
      </c>
      <c r="R80" s="1">
        <v>34</v>
      </c>
      <c r="S80" s="1" t="s">
        <v>29</v>
      </c>
      <c r="T80" s="1">
        <v>456</v>
      </c>
    </row>
    <row r="81" spans="1:20" ht="15.75" customHeight="1" x14ac:dyDescent="0.25">
      <c r="A81" s="1" t="s">
        <v>116</v>
      </c>
      <c r="B81" s="2">
        <v>45397</v>
      </c>
      <c r="C81" s="1" t="s">
        <v>31</v>
      </c>
      <c r="D81" s="1" t="s">
        <v>49</v>
      </c>
      <c r="E81" s="1" t="s">
        <v>50</v>
      </c>
      <c r="F81" s="1">
        <v>12292</v>
      </c>
      <c r="G81" s="1">
        <v>1281</v>
      </c>
      <c r="H81" s="1">
        <v>175</v>
      </c>
      <c r="I81" s="1" t="s">
        <v>63</v>
      </c>
      <c r="J81" s="1">
        <v>30</v>
      </c>
      <c r="K81" s="1" t="s">
        <v>25</v>
      </c>
      <c r="L81" s="1">
        <v>0</v>
      </c>
      <c r="M81" s="1">
        <v>0</v>
      </c>
      <c r="O81" s="1" t="s">
        <v>26</v>
      </c>
      <c r="P81" s="1" t="s">
        <v>59</v>
      </c>
      <c r="Q81" s="1" t="s">
        <v>28</v>
      </c>
      <c r="R81" s="1">
        <v>36</v>
      </c>
      <c r="S81" s="1" t="s">
        <v>37</v>
      </c>
      <c r="T81" s="1">
        <v>4812</v>
      </c>
    </row>
    <row r="82" spans="1:20" ht="15.75" customHeight="1" x14ac:dyDescent="0.25">
      <c r="A82" s="1" t="s">
        <v>56</v>
      </c>
      <c r="B82" s="2">
        <v>45738</v>
      </c>
      <c r="C82" s="1" t="s">
        <v>54</v>
      </c>
      <c r="D82" s="1" t="s">
        <v>32</v>
      </c>
      <c r="E82" s="1" t="s">
        <v>33</v>
      </c>
      <c r="F82" s="1">
        <v>1008</v>
      </c>
      <c r="G82" s="1">
        <v>2834</v>
      </c>
      <c r="H82" s="1">
        <v>96</v>
      </c>
      <c r="I82" s="1" t="s">
        <v>34</v>
      </c>
      <c r="J82" s="1">
        <v>17</v>
      </c>
      <c r="K82" s="1" t="s">
        <v>41</v>
      </c>
      <c r="L82" s="1">
        <v>196</v>
      </c>
      <c r="M82" s="1">
        <v>196</v>
      </c>
      <c r="O82" s="1" t="s">
        <v>26</v>
      </c>
      <c r="P82" s="1" t="s">
        <v>27</v>
      </c>
      <c r="Q82" s="1" t="s">
        <v>36</v>
      </c>
      <c r="R82" s="1">
        <v>31</v>
      </c>
      <c r="S82" s="1" t="s">
        <v>37</v>
      </c>
      <c r="T82" s="1">
        <v>4741</v>
      </c>
    </row>
    <row r="83" spans="1:20" ht="15.75" customHeight="1" x14ac:dyDescent="0.25">
      <c r="A83" s="1" t="s">
        <v>117</v>
      </c>
      <c r="B83" s="2">
        <v>45707</v>
      </c>
      <c r="C83" s="1" t="s">
        <v>31</v>
      </c>
      <c r="D83" s="1" t="s">
        <v>45</v>
      </c>
      <c r="E83" s="1" t="s">
        <v>23</v>
      </c>
      <c r="F83" s="1">
        <v>4411</v>
      </c>
      <c r="G83" s="1">
        <v>3456</v>
      </c>
      <c r="H83" s="1">
        <v>8</v>
      </c>
      <c r="I83" s="1" t="s">
        <v>63</v>
      </c>
      <c r="J83" s="1">
        <v>38</v>
      </c>
      <c r="K83" s="1" t="s">
        <v>25</v>
      </c>
      <c r="L83" s="1">
        <v>0</v>
      </c>
      <c r="M83" s="1">
        <v>0</v>
      </c>
      <c r="O83" s="1" t="s">
        <v>26</v>
      </c>
      <c r="P83" s="1" t="s">
        <v>27</v>
      </c>
      <c r="Q83" s="1" t="s">
        <v>43</v>
      </c>
      <c r="R83" s="1">
        <v>34</v>
      </c>
      <c r="S83" s="1" t="s">
        <v>47</v>
      </c>
      <c r="T83" s="1">
        <v>2510</v>
      </c>
    </row>
    <row r="84" spans="1:20" ht="15.75" customHeight="1" x14ac:dyDescent="0.25">
      <c r="A84" s="1" t="s">
        <v>77</v>
      </c>
      <c r="B84" s="2">
        <v>45511</v>
      </c>
      <c r="C84" s="1" t="s">
        <v>31</v>
      </c>
      <c r="D84" s="1" t="s">
        <v>22</v>
      </c>
      <c r="E84" s="1" t="s">
        <v>23</v>
      </c>
      <c r="F84" s="1">
        <v>4410</v>
      </c>
      <c r="G84" s="1">
        <v>2584</v>
      </c>
      <c r="H84" s="1">
        <v>158</v>
      </c>
      <c r="I84" s="1" t="s">
        <v>63</v>
      </c>
      <c r="J84" s="1">
        <v>26</v>
      </c>
      <c r="K84" s="1" t="s">
        <v>41</v>
      </c>
      <c r="L84" s="1">
        <v>353</v>
      </c>
      <c r="M84" s="1">
        <v>353</v>
      </c>
      <c r="N84" s="1">
        <v>29</v>
      </c>
      <c r="O84" s="1" t="s">
        <v>26</v>
      </c>
      <c r="P84" s="1" t="s">
        <v>51</v>
      </c>
      <c r="Q84" s="1" t="s">
        <v>28</v>
      </c>
      <c r="R84" s="1">
        <v>16</v>
      </c>
      <c r="S84" s="1" t="s">
        <v>37</v>
      </c>
      <c r="T84" s="1">
        <v>2386</v>
      </c>
    </row>
    <row r="85" spans="1:20" ht="15.75" customHeight="1" x14ac:dyDescent="0.25">
      <c r="A85" s="1" t="s">
        <v>82</v>
      </c>
      <c r="B85" s="2">
        <v>45560</v>
      </c>
      <c r="C85" s="1" t="s">
        <v>54</v>
      </c>
      <c r="D85" s="1" t="s">
        <v>45</v>
      </c>
      <c r="E85" s="1" t="s">
        <v>24</v>
      </c>
      <c r="F85" s="1">
        <v>13268</v>
      </c>
      <c r="G85" s="1">
        <v>4742</v>
      </c>
      <c r="H85" s="1">
        <v>249</v>
      </c>
      <c r="I85" s="1" t="s">
        <v>55</v>
      </c>
      <c r="J85" s="1">
        <v>22</v>
      </c>
      <c r="K85" s="1" t="s">
        <v>25</v>
      </c>
      <c r="L85" s="1">
        <v>0</v>
      </c>
      <c r="M85" s="1">
        <v>0</v>
      </c>
      <c r="N85" s="1">
        <v>18</v>
      </c>
      <c r="O85" s="1" t="s">
        <v>26</v>
      </c>
      <c r="P85" s="1" t="s">
        <v>51</v>
      </c>
      <c r="Q85" s="1" t="s">
        <v>43</v>
      </c>
      <c r="R85" s="1">
        <v>16</v>
      </c>
      <c r="S85" s="1" t="s">
        <v>47</v>
      </c>
      <c r="T85" s="1">
        <v>4299</v>
      </c>
    </row>
    <row r="86" spans="1:20" ht="15.75" customHeight="1" x14ac:dyDescent="0.25">
      <c r="A86" s="1" t="s">
        <v>118</v>
      </c>
      <c r="B86" s="2">
        <v>45738</v>
      </c>
      <c r="C86" s="1" t="s">
        <v>57</v>
      </c>
      <c r="D86" s="1" t="s">
        <v>45</v>
      </c>
      <c r="E86" s="1" t="s">
        <v>24</v>
      </c>
      <c r="F86" s="1">
        <v>4701</v>
      </c>
      <c r="G86" s="1">
        <v>974</v>
      </c>
      <c r="H86" s="1">
        <v>46</v>
      </c>
      <c r="I86" s="1" t="s">
        <v>63</v>
      </c>
      <c r="J86" s="1">
        <v>1</v>
      </c>
      <c r="K86" s="1" t="s">
        <v>25</v>
      </c>
      <c r="L86" s="1">
        <v>0</v>
      </c>
      <c r="M86" s="1">
        <v>0</v>
      </c>
      <c r="O86" s="1" t="s">
        <v>42</v>
      </c>
      <c r="P86" s="1" t="s">
        <v>27</v>
      </c>
      <c r="Q86" s="1" t="s">
        <v>52</v>
      </c>
      <c r="R86" s="1">
        <v>75</v>
      </c>
      <c r="S86" s="1" t="s">
        <v>37</v>
      </c>
      <c r="T86" s="1">
        <v>4719</v>
      </c>
    </row>
    <row r="87" spans="1:20" ht="15.75" customHeight="1" x14ac:dyDescent="0.25">
      <c r="A87" s="1" t="s">
        <v>107</v>
      </c>
      <c r="B87" s="2">
        <v>45621</v>
      </c>
      <c r="C87" s="1" t="s">
        <v>57</v>
      </c>
      <c r="D87" s="1" t="s">
        <v>45</v>
      </c>
      <c r="E87" s="1" t="s">
        <v>50</v>
      </c>
      <c r="F87" s="1">
        <v>11903</v>
      </c>
      <c r="G87" s="1">
        <v>1780</v>
      </c>
      <c r="H87" s="1">
        <v>115</v>
      </c>
      <c r="I87" s="1" t="s">
        <v>63</v>
      </c>
      <c r="J87" s="1">
        <v>20</v>
      </c>
      <c r="K87" s="1" t="s">
        <v>25</v>
      </c>
      <c r="L87" s="1">
        <v>0</v>
      </c>
      <c r="M87" s="1">
        <v>0</v>
      </c>
      <c r="O87" s="1" t="s">
        <v>26</v>
      </c>
      <c r="P87" s="1" t="s">
        <v>35</v>
      </c>
      <c r="Q87" s="1" t="s">
        <v>36</v>
      </c>
      <c r="R87" s="1">
        <v>10</v>
      </c>
      <c r="S87" s="1" t="s">
        <v>29</v>
      </c>
      <c r="T87" s="1">
        <v>2893</v>
      </c>
    </row>
    <row r="88" spans="1:20" ht="15.75" customHeight="1" x14ac:dyDescent="0.25">
      <c r="A88" s="1" t="s">
        <v>65</v>
      </c>
      <c r="B88" s="2">
        <v>45353</v>
      </c>
      <c r="C88" s="1" t="s">
        <v>31</v>
      </c>
      <c r="D88" s="1" t="s">
        <v>45</v>
      </c>
      <c r="E88" s="1" t="s">
        <v>24</v>
      </c>
      <c r="F88" s="1">
        <v>18174</v>
      </c>
      <c r="G88" s="1">
        <v>3257</v>
      </c>
      <c r="H88" s="1">
        <v>4</v>
      </c>
      <c r="I88" s="1" t="s">
        <v>63</v>
      </c>
      <c r="J88" s="1">
        <v>2</v>
      </c>
      <c r="K88" s="1" t="s">
        <v>25</v>
      </c>
      <c r="L88" s="1">
        <v>0</v>
      </c>
      <c r="M88" s="1">
        <v>0</v>
      </c>
      <c r="N88" s="1">
        <v>28</v>
      </c>
      <c r="O88" s="1" t="s">
        <v>26</v>
      </c>
      <c r="P88" s="1" t="s">
        <v>51</v>
      </c>
      <c r="Q88" s="1" t="s">
        <v>36</v>
      </c>
      <c r="R88" s="1">
        <v>9</v>
      </c>
      <c r="S88" s="1" t="s">
        <v>37</v>
      </c>
      <c r="T88" s="1">
        <v>368</v>
      </c>
    </row>
    <row r="89" spans="1:20" ht="15.75" customHeight="1" x14ac:dyDescent="0.25">
      <c r="A89" s="1" t="s">
        <v>119</v>
      </c>
      <c r="B89" s="2">
        <v>45360</v>
      </c>
      <c r="C89" s="1" t="s">
        <v>39</v>
      </c>
      <c r="D89" s="1" t="s">
        <v>49</v>
      </c>
      <c r="E89" s="1" t="s">
        <v>50</v>
      </c>
      <c r="F89" s="1">
        <v>2222</v>
      </c>
      <c r="G89" s="1">
        <v>687</v>
      </c>
      <c r="H89" s="1">
        <v>223</v>
      </c>
      <c r="I89" s="1" t="s">
        <v>24</v>
      </c>
      <c r="J89" s="1">
        <v>19</v>
      </c>
      <c r="K89" s="1" t="s">
        <v>25</v>
      </c>
      <c r="L89" s="1">
        <v>0</v>
      </c>
      <c r="M89" s="1">
        <v>0</v>
      </c>
      <c r="N89" s="1">
        <v>19</v>
      </c>
      <c r="O89" s="1" t="s">
        <v>42</v>
      </c>
      <c r="P89" s="1" t="s">
        <v>51</v>
      </c>
      <c r="Q89" s="1" t="s">
        <v>43</v>
      </c>
      <c r="R89" s="1">
        <v>61</v>
      </c>
      <c r="S89" s="1" t="s">
        <v>29</v>
      </c>
      <c r="T89" s="1">
        <v>5240</v>
      </c>
    </row>
    <row r="90" spans="1:20" ht="15.75" customHeight="1" x14ac:dyDescent="0.25">
      <c r="A90" s="1" t="s">
        <v>120</v>
      </c>
      <c r="B90" s="2">
        <v>45444</v>
      </c>
      <c r="C90" s="1" t="s">
        <v>39</v>
      </c>
      <c r="D90" s="1" t="s">
        <v>32</v>
      </c>
      <c r="E90" s="1" t="s">
        <v>33</v>
      </c>
      <c r="F90" s="1">
        <v>11228</v>
      </c>
      <c r="G90" s="1">
        <v>830</v>
      </c>
      <c r="H90" s="1">
        <v>82</v>
      </c>
      <c r="I90" s="1" t="s">
        <v>40</v>
      </c>
      <c r="J90" s="1">
        <v>38</v>
      </c>
      <c r="K90" s="1" t="s">
        <v>25</v>
      </c>
      <c r="L90" s="1">
        <v>0</v>
      </c>
      <c r="M90" s="1">
        <v>0</v>
      </c>
      <c r="O90" s="1" t="s">
        <v>26</v>
      </c>
      <c r="P90" s="1" t="s">
        <v>59</v>
      </c>
      <c r="Q90" s="1" t="s">
        <v>28</v>
      </c>
      <c r="R90" s="1">
        <v>43</v>
      </c>
      <c r="S90" s="1" t="s">
        <v>37</v>
      </c>
      <c r="T90" s="1">
        <v>5567</v>
      </c>
    </row>
    <row r="91" spans="1:20" ht="15.75" customHeight="1" x14ac:dyDescent="0.25">
      <c r="A91" s="1" t="s">
        <v>121</v>
      </c>
      <c r="B91" s="2">
        <v>45750</v>
      </c>
      <c r="C91" s="1" t="s">
        <v>54</v>
      </c>
      <c r="D91" s="1" t="s">
        <v>45</v>
      </c>
      <c r="E91" s="1" t="s">
        <v>33</v>
      </c>
      <c r="F91" s="1">
        <v>7865</v>
      </c>
      <c r="G91" s="1">
        <v>2048</v>
      </c>
      <c r="H91" s="1">
        <v>263</v>
      </c>
      <c r="I91" s="1" t="s">
        <v>55</v>
      </c>
      <c r="J91" s="1">
        <v>17</v>
      </c>
      <c r="K91" s="1" t="s">
        <v>41</v>
      </c>
      <c r="L91" s="1">
        <v>398</v>
      </c>
      <c r="M91" s="1">
        <v>199</v>
      </c>
      <c r="O91" s="1" t="s">
        <v>26</v>
      </c>
      <c r="P91" s="1" t="s">
        <v>46</v>
      </c>
      <c r="Q91" s="1" t="s">
        <v>43</v>
      </c>
      <c r="R91" s="1">
        <v>52</v>
      </c>
      <c r="S91" s="1" t="s">
        <v>37</v>
      </c>
      <c r="T91" s="1">
        <v>5894</v>
      </c>
    </row>
    <row r="92" spans="1:20" ht="15.75" customHeight="1" x14ac:dyDescent="0.25">
      <c r="A92" s="1" t="s">
        <v>122</v>
      </c>
      <c r="B92" s="2">
        <v>45593</v>
      </c>
      <c r="C92" s="1" t="s">
        <v>21</v>
      </c>
      <c r="D92" s="1" t="s">
        <v>45</v>
      </c>
      <c r="E92" s="1" t="s">
        <v>50</v>
      </c>
      <c r="F92" s="1">
        <v>8955</v>
      </c>
      <c r="G92" s="1">
        <v>329</v>
      </c>
      <c r="H92" s="1">
        <v>11</v>
      </c>
      <c r="I92" s="1" t="s">
        <v>58</v>
      </c>
      <c r="J92" s="1">
        <v>27</v>
      </c>
      <c r="K92" s="1" t="s">
        <v>25</v>
      </c>
      <c r="L92" s="1">
        <v>0</v>
      </c>
      <c r="M92" s="1">
        <v>0</v>
      </c>
      <c r="N92" s="1">
        <v>31</v>
      </c>
      <c r="O92" s="1" t="s">
        <v>26</v>
      </c>
      <c r="P92" s="1" t="s">
        <v>27</v>
      </c>
      <c r="Q92" s="1" t="s">
        <v>28</v>
      </c>
      <c r="R92" s="1">
        <v>72</v>
      </c>
      <c r="S92" s="1" t="s">
        <v>29</v>
      </c>
      <c r="T92" s="1">
        <v>606</v>
      </c>
    </row>
    <row r="93" spans="1:20" ht="15.75" customHeight="1" x14ac:dyDescent="0.25">
      <c r="A93" s="1" t="s">
        <v>123</v>
      </c>
      <c r="B93" s="2">
        <v>45771</v>
      </c>
      <c r="C93" s="1" t="s">
        <v>21</v>
      </c>
      <c r="D93" s="1" t="s">
        <v>45</v>
      </c>
      <c r="E93" s="1" t="s">
        <v>24</v>
      </c>
      <c r="F93" s="1">
        <v>19173</v>
      </c>
      <c r="G93" s="1">
        <v>4712</v>
      </c>
      <c r="H93" s="1">
        <v>189</v>
      </c>
      <c r="I93" s="1" t="s">
        <v>40</v>
      </c>
      <c r="J93" s="1">
        <v>31</v>
      </c>
      <c r="K93" s="1" t="s">
        <v>41</v>
      </c>
      <c r="L93" s="1">
        <v>554</v>
      </c>
      <c r="M93" s="1">
        <v>184.67</v>
      </c>
      <c r="O93" s="1" t="s">
        <v>26</v>
      </c>
      <c r="P93" s="1" t="s">
        <v>46</v>
      </c>
      <c r="Q93" s="1" t="s">
        <v>36</v>
      </c>
      <c r="R93" s="1">
        <v>56</v>
      </c>
      <c r="S93" s="1" t="s">
        <v>47</v>
      </c>
      <c r="T93" s="1">
        <v>4642</v>
      </c>
    </row>
    <row r="94" spans="1:20" ht="15.75" customHeight="1" x14ac:dyDescent="0.25">
      <c r="A94" s="1" t="s">
        <v>124</v>
      </c>
      <c r="B94" s="2">
        <v>45433</v>
      </c>
      <c r="C94" s="1" t="s">
        <v>21</v>
      </c>
      <c r="D94" s="1" t="s">
        <v>49</v>
      </c>
      <c r="E94" s="1" t="s">
        <v>24</v>
      </c>
      <c r="F94" s="1">
        <v>18204</v>
      </c>
      <c r="G94" s="1">
        <v>2216</v>
      </c>
      <c r="H94" s="1">
        <v>249</v>
      </c>
      <c r="I94" s="1" t="s">
        <v>63</v>
      </c>
      <c r="J94" s="1">
        <v>4</v>
      </c>
      <c r="K94" s="1" t="s">
        <v>41</v>
      </c>
      <c r="L94" s="1">
        <v>377</v>
      </c>
      <c r="M94" s="1">
        <v>188.5</v>
      </c>
      <c r="O94" s="1" t="s">
        <v>42</v>
      </c>
      <c r="P94" s="1" t="s">
        <v>35</v>
      </c>
      <c r="Q94" s="1" t="s">
        <v>36</v>
      </c>
      <c r="R94" s="1">
        <v>71</v>
      </c>
      <c r="S94" s="1" t="s">
        <v>37</v>
      </c>
      <c r="T94" s="1">
        <v>1150</v>
      </c>
    </row>
    <row r="95" spans="1:20" ht="15.75" customHeight="1" x14ac:dyDescent="0.25">
      <c r="A95" s="1" t="s">
        <v>125</v>
      </c>
      <c r="B95" s="2">
        <v>45432</v>
      </c>
      <c r="C95" s="1" t="s">
        <v>31</v>
      </c>
      <c r="D95" s="1" t="s">
        <v>32</v>
      </c>
      <c r="E95" s="1" t="s">
        <v>33</v>
      </c>
      <c r="F95" s="1">
        <v>15354</v>
      </c>
      <c r="G95" s="1">
        <v>4661</v>
      </c>
      <c r="H95" s="1">
        <v>119</v>
      </c>
      <c r="I95" s="1" t="s">
        <v>58</v>
      </c>
      <c r="J95" s="1">
        <v>28</v>
      </c>
      <c r="K95" s="1" t="s">
        <v>41</v>
      </c>
      <c r="L95" s="1">
        <v>442</v>
      </c>
      <c r="M95" s="1">
        <v>147.33000000000001</v>
      </c>
      <c r="N95" s="1">
        <v>60</v>
      </c>
      <c r="O95" s="1" t="s">
        <v>26</v>
      </c>
      <c r="P95" s="1" t="s">
        <v>51</v>
      </c>
      <c r="Q95" s="1" t="s">
        <v>36</v>
      </c>
      <c r="R95" s="1">
        <v>46</v>
      </c>
      <c r="S95" s="1" t="s">
        <v>37</v>
      </c>
      <c r="T95" s="1">
        <v>2454</v>
      </c>
    </row>
    <row r="96" spans="1:20" ht="15.75" customHeight="1" x14ac:dyDescent="0.25">
      <c r="A96" s="1" t="s">
        <v>126</v>
      </c>
      <c r="B96" s="2">
        <v>45759</v>
      </c>
      <c r="C96" s="1" t="s">
        <v>21</v>
      </c>
      <c r="D96" s="1" t="s">
        <v>22</v>
      </c>
      <c r="E96" s="1" t="s">
        <v>50</v>
      </c>
      <c r="F96" s="1">
        <v>7702</v>
      </c>
      <c r="G96" s="1">
        <v>580</v>
      </c>
      <c r="H96" s="1">
        <v>11</v>
      </c>
      <c r="I96" s="1" t="s">
        <v>24</v>
      </c>
      <c r="J96" s="1">
        <v>18</v>
      </c>
      <c r="K96" s="1" t="s">
        <v>41</v>
      </c>
      <c r="L96" s="1">
        <v>269</v>
      </c>
      <c r="M96" s="1">
        <v>269</v>
      </c>
      <c r="N96" s="1">
        <v>19</v>
      </c>
      <c r="O96" s="1" t="s">
        <v>42</v>
      </c>
      <c r="P96" s="1" t="s">
        <v>46</v>
      </c>
      <c r="Q96" s="1" t="s">
        <v>28</v>
      </c>
      <c r="R96" s="1">
        <v>43</v>
      </c>
      <c r="S96" s="1" t="s">
        <v>29</v>
      </c>
      <c r="T96" s="1">
        <v>2358</v>
      </c>
    </row>
    <row r="97" spans="1:20" ht="15.75" customHeight="1" x14ac:dyDescent="0.25">
      <c r="A97" s="1" t="s">
        <v>83</v>
      </c>
      <c r="B97" s="2">
        <v>45697</v>
      </c>
      <c r="C97" s="1" t="s">
        <v>57</v>
      </c>
      <c r="D97" s="1" t="s">
        <v>32</v>
      </c>
      <c r="E97" s="1" t="s">
        <v>50</v>
      </c>
      <c r="F97" s="1">
        <v>6797</v>
      </c>
      <c r="G97" s="1">
        <v>1281</v>
      </c>
      <c r="H97" s="1">
        <v>154</v>
      </c>
      <c r="I97" s="1" t="s">
        <v>63</v>
      </c>
      <c r="J97" s="1">
        <v>2</v>
      </c>
      <c r="K97" s="1" t="s">
        <v>41</v>
      </c>
      <c r="L97" s="1">
        <v>679</v>
      </c>
      <c r="M97" s="1">
        <v>226.33</v>
      </c>
      <c r="N97" s="1">
        <v>56</v>
      </c>
      <c r="O97" s="1" t="s">
        <v>42</v>
      </c>
      <c r="P97" s="1" t="s">
        <v>46</v>
      </c>
      <c r="Q97" s="1" t="s">
        <v>36</v>
      </c>
      <c r="R97" s="1">
        <v>52</v>
      </c>
      <c r="S97" s="1" t="s">
        <v>47</v>
      </c>
      <c r="T97" s="1">
        <v>5141</v>
      </c>
    </row>
    <row r="98" spans="1:20" ht="15.75" customHeight="1" x14ac:dyDescent="0.25">
      <c r="A98" s="1" t="s">
        <v>78</v>
      </c>
      <c r="B98" s="2">
        <v>45671</v>
      </c>
      <c r="C98" s="1" t="s">
        <v>39</v>
      </c>
      <c r="D98" s="1" t="s">
        <v>49</v>
      </c>
      <c r="E98" s="1" t="s">
        <v>23</v>
      </c>
      <c r="F98" s="1">
        <v>1054</v>
      </c>
      <c r="G98" s="1">
        <v>487</v>
      </c>
      <c r="H98" s="1">
        <v>86</v>
      </c>
      <c r="I98" s="1" t="s">
        <v>63</v>
      </c>
      <c r="J98" s="1">
        <v>33</v>
      </c>
      <c r="K98" s="1" t="s">
        <v>41</v>
      </c>
      <c r="L98" s="1">
        <v>381</v>
      </c>
      <c r="M98" s="1">
        <v>127</v>
      </c>
      <c r="N98" s="1">
        <v>38</v>
      </c>
      <c r="O98" s="1" t="s">
        <v>26</v>
      </c>
      <c r="P98" s="1" t="s">
        <v>46</v>
      </c>
      <c r="Q98" s="1" t="s">
        <v>28</v>
      </c>
      <c r="R98" s="1">
        <v>44</v>
      </c>
      <c r="S98" s="1" t="s">
        <v>47</v>
      </c>
      <c r="T98" s="1">
        <v>419</v>
      </c>
    </row>
    <row r="99" spans="1:20" ht="15.75" customHeight="1" x14ac:dyDescent="0.25">
      <c r="A99" s="1" t="s">
        <v>86</v>
      </c>
      <c r="B99" s="2">
        <v>45828</v>
      </c>
      <c r="C99" s="1" t="s">
        <v>21</v>
      </c>
      <c r="D99" s="1" t="s">
        <v>22</v>
      </c>
      <c r="E99" s="1" t="s">
        <v>23</v>
      </c>
      <c r="F99" s="1">
        <v>16405</v>
      </c>
      <c r="G99" s="1">
        <v>4524</v>
      </c>
      <c r="H99" s="1">
        <v>33</v>
      </c>
      <c r="I99" s="1" t="s">
        <v>58</v>
      </c>
      <c r="J99" s="1">
        <v>35</v>
      </c>
      <c r="K99" s="1" t="s">
        <v>25</v>
      </c>
      <c r="L99" s="1">
        <v>0</v>
      </c>
      <c r="M99" s="1">
        <v>0</v>
      </c>
      <c r="O99" s="1" t="s">
        <v>42</v>
      </c>
      <c r="P99" s="1" t="s">
        <v>27</v>
      </c>
      <c r="Q99" s="1" t="s">
        <v>43</v>
      </c>
      <c r="R99" s="1">
        <v>75</v>
      </c>
      <c r="S99" s="1" t="s">
        <v>37</v>
      </c>
      <c r="T99" s="1">
        <v>3631</v>
      </c>
    </row>
    <row r="100" spans="1:20" ht="15.75" customHeight="1" x14ac:dyDescent="0.25">
      <c r="A100" s="1" t="s">
        <v>127</v>
      </c>
      <c r="B100" s="2">
        <v>45333</v>
      </c>
      <c r="C100" s="1" t="s">
        <v>39</v>
      </c>
      <c r="D100" s="1" t="s">
        <v>32</v>
      </c>
      <c r="E100" s="1" t="s">
        <v>33</v>
      </c>
      <c r="F100" s="1">
        <v>13536</v>
      </c>
      <c r="G100" s="1">
        <v>4419</v>
      </c>
      <c r="H100" s="1">
        <v>210</v>
      </c>
      <c r="I100" s="1" t="s">
        <v>63</v>
      </c>
      <c r="J100" s="1">
        <v>5</v>
      </c>
      <c r="K100" s="1" t="s">
        <v>25</v>
      </c>
      <c r="L100" s="1">
        <v>0</v>
      </c>
      <c r="M100" s="1">
        <v>0</v>
      </c>
      <c r="N100" s="1">
        <v>46</v>
      </c>
      <c r="O100" s="1" t="s">
        <v>26</v>
      </c>
      <c r="P100" s="1" t="s">
        <v>46</v>
      </c>
      <c r="Q100" s="1" t="s">
        <v>28</v>
      </c>
      <c r="R100" s="1">
        <v>37</v>
      </c>
      <c r="S100" s="1" t="s">
        <v>37</v>
      </c>
      <c r="T100" s="1">
        <v>4457</v>
      </c>
    </row>
    <row r="101" spans="1:20" ht="15.75" customHeight="1" x14ac:dyDescent="0.25">
      <c r="A101" s="1" t="s">
        <v>128</v>
      </c>
      <c r="B101" s="2">
        <v>45823</v>
      </c>
      <c r="C101" s="1" t="s">
        <v>39</v>
      </c>
      <c r="D101" s="1" t="s">
        <v>32</v>
      </c>
      <c r="E101" s="1" t="s">
        <v>50</v>
      </c>
      <c r="F101" s="1">
        <v>15559</v>
      </c>
      <c r="G101" s="1">
        <v>669</v>
      </c>
      <c r="H101" s="1">
        <v>265</v>
      </c>
      <c r="I101" s="1" t="s">
        <v>55</v>
      </c>
      <c r="J101" s="1">
        <v>25</v>
      </c>
      <c r="K101" s="1" t="s">
        <v>41</v>
      </c>
      <c r="L101" s="1">
        <v>327</v>
      </c>
      <c r="M101" s="1">
        <v>109</v>
      </c>
      <c r="N101" s="1">
        <v>22</v>
      </c>
      <c r="O101" s="1" t="s">
        <v>42</v>
      </c>
      <c r="P101" s="1" t="s">
        <v>46</v>
      </c>
      <c r="Q101" s="1" t="s">
        <v>28</v>
      </c>
      <c r="R101" s="1">
        <v>97</v>
      </c>
      <c r="S101" s="1" t="s">
        <v>47</v>
      </c>
      <c r="T101" s="1">
        <v>4348</v>
      </c>
    </row>
    <row r="102" spans="1:20" ht="15.75" customHeight="1" x14ac:dyDescent="0.25">
      <c r="A102" s="1" t="s">
        <v>129</v>
      </c>
      <c r="B102" s="2">
        <v>45738</v>
      </c>
      <c r="C102" s="1" t="s">
        <v>57</v>
      </c>
      <c r="D102" s="1" t="s">
        <v>22</v>
      </c>
      <c r="E102" s="1" t="s">
        <v>24</v>
      </c>
      <c r="F102" s="1">
        <v>19691</v>
      </c>
      <c r="G102" s="1">
        <v>1116</v>
      </c>
      <c r="H102" s="1">
        <v>166</v>
      </c>
      <c r="I102" s="1" t="s">
        <v>34</v>
      </c>
      <c r="J102" s="1">
        <v>2</v>
      </c>
      <c r="K102" s="1" t="s">
        <v>25</v>
      </c>
      <c r="L102" s="1">
        <v>0</v>
      </c>
      <c r="M102" s="1">
        <v>0</v>
      </c>
      <c r="O102" s="1" t="s">
        <v>26</v>
      </c>
      <c r="P102" s="1" t="s">
        <v>59</v>
      </c>
      <c r="Q102" s="1" t="s">
        <v>52</v>
      </c>
      <c r="R102" s="1">
        <v>100</v>
      </c>
      <c r="S102" s="1" t="s">
        <v>47</v>
      </c>
      <c r="T102" s="1">
        <v>2330</v>
      </c>
    </row>
    <row r="103" spans="1:20" ht="15.75" customHeight="1" x14ac:dyDescent="0.25">
      <c r="A103" s="1" t="s">
        <v>130</v>
      </c>
      <c r="B103" s="2">
        <v>45426</v>
      </c>
      <c r="C103" s="1" t="s">
        <v>39</v>
      </c>
      <c r="D103" s="1" t="s">
        <v>45</v>
      </c>
      <c r="E103" s="1" t="s">
        <v>33</v>
      </c>
      <c r="F103" s="1">
        <v>9955</v>
      </c>
      <c r="G103" s="1">
        <v>1521</v>
      </c>
      <c r="H103" s="1">
        <v>233</v>
      </c>
      <c r="I103" s="1" t="s">
        <v>34</v>
      </c>
      <c r="J103" s="1">
        <v>31</v>
      </c>
      <c r="K103" s="1" t="s">
        <v>41</v>
      </c>
      <c r="L103" s="1">
        <v>539</v>
      </c>
      <c r="M103" s="1">
        <v>269.5</v>
      </c>
      <c r="O103" s="1" t="s">
        <v>26</v>
      </c>
      <c r="P103" s="1" t="s">
        <v>46</v>
      </c>
      <c r="Q103" s="1" t="s">
        <v>43</v>
      </c>
      <c r="R103" s="1">
        <v>25</v>
      </c>
      <c r="S103" s="1" t="s">
        <v>29</v>
      </c>
      <c r="T103" s="1">
        <v>3885</v>
      </c>
    </row>
    <row r="104" spans="1:20" ht="15.75" customHeight="1" x14ac:dyDescent="0.25">
      <c r="A104" s="1" t="s">
        <v>131</v>
      </c>
      <c r="B104" s="2">
        <v>45477</v>
      </c>
      <c r="C104" s="1" t="s">
        <v>39</v>
      </c>
      <c r="D104" s="1" t="s">
        <v>22</v>
      </c>
      <c r="E104" s="1" t="s">
        <v>50</v>
      </c>
      <c r="F104" s="1">
        <v>11006</v>
      </c>
      <c r="G104" s="1">
        <v>1491</v>
      </c>
      <c r="H104" s="1">
        <v>17</v>
      </c>
      <c r="I104" s="1" t="s">
        <v>58</v>
      </c>
      <c r="J104" s="1">
        <v>34</v>
      </c>
      <c r="K104" s="1" t="s">
        <v>41</v>
      </c>
      <c r="L104" s="1">
        <v>401</v>
      </c>
      <c r="M104" s="1">
        <v>401</v>
      </c>
      <c r="N104" s="1">
        <v>38</v>
      </c>
      <c r="O104" s="1" t="s">
        <v>42</v>
      </c>
      <c r="P104" s="1" t="s">
        <v>35</v>
      </c>
      <c r="Q104" s="1" t="s">
        <v>28</v>
      </c>
      <c r="R104" s="1">
        <v>60</v>
      </c>
      <c r="S104" s="1" t="s">
        <v>29</v>
      </c>
      <c r="T104" s="1">
        <v>2674</v>
      </c>
    </row>
    <row r="105" spans="1:20" ht="15.75" customHeight="1" x14ac:dyDescent="0.25">
      <c r="A105" s="1" t="s">
        <v>67</v>
      </c>
      <c r="B105" s="2">
        <v>45447</v>
      </c>
      <c r="C105" s="1" t="s">
        <v>57</v>
      </c>
      <c r="D105" s="1" t="s">
        <v>22</v>
      </c>
      <c r="E105" s="1" t="s">
        <v>33</v>
      </c>
      <c r="F105" s="1">
        <v>1165</v>
      </c>
      <c r="G105" s="1">
        <v>350</v>
      </c>
      <c r="H105" s="1">
        <v>67</v>
      </c>
      <c r="I105" s="1" t="s">
        <v>63</v>
      </c>
      <c r="J105" s="1">
        <v>15</v>
      </c>
      <c r="K105" s="1" t="s">
        <v>25</v>
      </c>
      <c r="L105" s="1">
        <v>0</v>
      </c>
      <c r="M105" s="1">
        <v>0</v>
      </c>
      <c r="O105" s="1" t="s">
        <v>42</v>
      </c>
      <c r="P105" s="1" t="s">
        <v>59</v>
      </c>
      <c r="Q105" s="1" t="s">
        <v>43</v>
      </c>
      <c r="R105" s="1">
        <v>40</v>
      </c>
      <c r="S105" s="1" t="s">
        <v>37</v>
      </c>
      <c r="T105" s="1">
        <v>4869</v>
      </c>
    </row>
    <row r="106" spans="1:20" ht="15.75" customHeight="1" x14ac:dyDescent="0.25">
      <c r="A106" s="1" t="s">
        <v>132</v>
      </c>
      <c r="B106" s="2">
        <v>45624</v>
      </c>
      <c r="C106" s="1" t="s">
        <v>21</v>
      </c>
      <c r="D106" s="1" t="s">
        <v>49</v>
      </c>
      <c r="E106" s="1" t="s">
        <v>50</v>
      </c>
      <c r="F106" s="1">
        <v>14532</v>
      </c>
      <c r="G106" s="1">
        <v>2067</v>
      </c>
      <c r="H106" s="1">
        <v>284</v>
      </c>
      <c r="I106" s="1" t="s">
        <v>55</v>
      </c>
      <c r="J106" s="1">
        <v>8</v>
      </c>
      <c r="K106" s="1" t="s">
        <v>41</v>
      </c>
      <c r="L106" s="1">
        <v>188</v>
      </c>
      <c r="M106" s="1">
        <v>62.67</v>
      </c>
      <c r="O106" s="1" t="s">
        <v>26</v>
      </c>
      <c r="P106" s="1" t="s">
        <v>27</v>
      </c>
      <c r="Q106" s="1" t="s">
        <v>43</v>
      </c>
      <c r="R106" s="1">
        <v>89</v>
      </c>
      <c r="S106" s="1" t="s">
        <v>37</v>
      </c>
      <c r="T106" s="1">
        <v>5649</v>
      </c>
    </row>
    <row r="107" spans="1:20" ht="15.75" customHeight="1" x14ac:dyDescent="0.25">
      <c r="A107" s="1" t="s">
        <v>133</v>
      </c>
      <c r="B107" s="2">
        <v>45317</v>
      </c>
      <c r="C107" s="1" t="s">
        <v>21</v>
      </c>
      <c r="D107" s="1" t="s">
        <v>32</v>
      </c>
      <c r="E107" s="1" t="s">
        <v>24</v>
      </c>
      <c r="F107" s="1">
        <v>17284</v>
      </c>
      <c r="G107" s="1">
        <v>3408</v>
      </c>
      <c r="H107" s="1">
        <v>163</v>
      </c>
      <c r="I107" s="1" t="s">
        <v>34</v>
      </c>
      <c r="J107" s="1">
        <v>32</v>
      </c>
      <c r="K107" s="1" t="s">
        <v>25</v>
      </c>
      <c r="L107" s="1">
        <v>0</v>
      </c>
      <c r="M107" s="1">
        <v>0</v>
      </c>
      <c r="N107" s="1">
        <v>29</v>
      </c>
      <c r="O107" s="1" t="s">
        <v>42</v>
      </c>
      <c r="P107" s="1" t="s">
        <v>27</v>
      </c>
      <c r="Q107" s="1" t="s">
        <v>43</v>
      </c>
      <c r="R107" s="1">
        <v>5</v>
      </c>
      <c r="S107" s="1" t="s">
        <v>37</v>
      </c>
      <c r="T107" s="1">
        <v>5338</v>
      </c>
    </row>
    <row r="108" spans="1:20" ht="15.75" customHeight="1" x14ac:dyDescent="0.25">
      <c r="A108" s="1" t="s">
        <v>75</v>
      </c>
      <c r="B108" s="2">
        <v>45671</v>
      </c>
      <c r="C108" s="1" t="s">
        <v>21</v>
      </c>
      <c r="D108" s="1" t="s">
        <v>49</v>
      </c>
      <c r="E108" s="1" t="s">
        <v>23</v>
      </c>
      <c r="F108" s="1">
        <v>11263</v>
      </c>
      <c r="G108" s="1">
        <v>1036</v>
      </c>
      <c r="H108" s="1">
        <v>63</v>
      </c>
      <c r="I108" s="1" t="s">
        <v>24</v>
      </c>
      <c r="J108" s="1">
        <v>7</v>
      </c>
      <c r="K108" s="1" t="s">
        <v>25</v>
      </c>
      <c r="L108" s="1">
        <v>0</v>
      </c>
      <c r="M108" s="1">
        <v>0</v>
      </c>
      <c r="O108" s="1" t="s">
        <v>42</v>
      </c>
      <c r="P108" s="1" t="s">
        <v>46</v>
      </c>
      <c r="Q108" s="1" t="s">
        <v>28</v>
      </c>
      <c r="R108" s="1">
        <v>63</v>
      </c>
      <c r="S108" s="1" t="s">
        <v>47</v>
      </c>
      <c r="T108" s="1">
        <v>4771</v>
      </c>
    </row>
    <row r="109" spans="1:20" ht="15.75" customHeight="1" x14ac:dyDescent="0.25">
      <c r="A109" s="1" t="s">
        <v>134</v>
      </c>
      <c r="B109" s="2">
        <v>45725</v>
      </c>
      <c r="C109" s="1" t="s">
        <v>57</v>
      </c>
      <c r="D109" s="1" t="s">
        <v>49</v>
      </c>
      <c r="E109" s="1" t="s">
        <v>33</v>
      </c>
      <c r="F109" s="1">
        <v>14999</v>
      </c>
      <c r="G109" s="1">
        <v>4860</v>
      </c>
      <c r="H109" s="1">
        <v>184</v>
      </c>
      <c r="I109" s="1" t="s">
        <v>63</v>
      </c>
      <c r="J109" s="1">
        <v>28</v>
      </c>
      <c r="K109" s="1" t="s">
        <v>41</v>
      </c>
      <c r="L109" s="1">
        <v>765</v>
      </c>
      <c r="M109" s="1">
        <v>255</v>
      </c>
      <c r="O109" s="1" t="s">
        <v>42</v>
      </c>
      <c r="P109" s="1" t="s">
        <v>46</v>
      </c>
      <c r="Q109" s="1" t="s">
        <v>43</v>
      </c>
      <c r="R109" s="1">
        <v>93</v>
      </c>
      <c r="S109" s="1" t="s">
        <v>47</v>
      </c>
      <c r="T109" s="1">
        <v>2100</v>
      </c>
    </row>
    <row r="110" spans="1:20" ht="15.75" customHeight="1" x14ac:dyDescent="0.25">
      <c r="A110" s="1" t="s">
        <v>120</v>
      </c>
      <c r="B110" s="2">
        <v>45555</v>
      </c>
      <c r="C110" s="1" t="s">
        <v>54</v>
      </c>
      <c r="D110" s="1" t="s">
        <v>49</v>
      </c>
      <c r="E110" s="1" t="s">
        <v>50</v>
      </c>
      <c r="F110" s="1">
        <v>15274</v>
      </c>
      <c r="G110" s="1">
        <v>2197</v>
      </c>
      <c r="H110" s="1">
        <v>173</v>
      </c>
      <c r="I110" s="1" t="s">
        <v>34</v>
      </c>
      <c r="J110" s="1">
        <v>16</v>
      </c>
      <c r="K110" s="1" t="s">
        <v>25</v>
      </c>
      <c r="L110" s="1">
        <v>0</v>
      </c>
      <c r="M110" s="1">
        <v>0</v>
      </c>
      <c r="N110" s="1">
        <v>26</v>
      </c>
      <c r="O110" s="1" t="s">
        <v>26</v>
      </c>
      <c r="P110" s="1" t="s">
        <v>27</v>
      </c>
      <c r="Q110" s="1" t="s">
        <v>28</v>
      </c>
      <c r="R110" s="1">
        <v>6</v>
      </c>
      <c r="S110" s="1" t="s">
        <v>29</v>
      </c>
      <c r="T110" s="1">
        <v>2148</v>
      </c>
    </row>
    <row r="111" spans="1:20" ht="15.75" customHeight="1" x14ac:dyDescent="0.25">
      <c r="A111" s="1" t="s">
        <v>135</v>
      </c>
      <c r="B111" s="2">
        <v>45359</v>
      </c>
      <c r="C111" s="1" t="s">
        <v>39</v>
      </c>
      <c r="D111" s="1" t="s">
        <v>22</v>
      </c>
      <c r="E111" s="1" t="s">
        <v>24</v>
      </c>
      <c r="F111" s="1">
        <v>11159</v>
      </c>
      <c r="G111" s="1">
        <v>2523</v>
      </c>
      <c r="H111" s="1">
        <v>248</v>
      </c>
      <c r="I111" s="1" t="s">
        <v>24</v>
      </c>
      <c r="J111" s="1">
        <v>23</v>
      </c>
      <c r="K111" s="1" t="s">
        <v>25</v>
      </c>
      <c r="L111" s="1">
        <v>0</v>
      </c>
      <c r="M111" s="1">
        <v>0</v>
      </c>
      <c r="O111" s="1" t="s">
        <v>26</v>
      </c>
      <c r="P111" s="1" t="s">
        <v>59</v>
      </c>
      <c r="Q111" s="1" t="s">
        <v>36</v>
      </c>
      <c r="R111" s="1">
        <v>43</v>
      </c>
      <c r="S111" s="1" t="s">
        <v>29</v>
      </c>
      <c r="T111" s="1">
        <v>627</v>
      </c>
    </row>
    <row r="112" spans="1:20" ht="15.75" customHeight="1" x14ac:dyDescent="0.25">
      <c r="A112" s="1" t="s">
        <v>67</v>
      </c>
      <c r="B112" s="2">
        <v>45701</v>
      </c>
      <c r="C112" s="1" t="s">
        <v>39</v>
      </c>
      <c r="D112" s="1" t="s">
        <v>45</v>
      </c>
      <c r="E112" s="1" t="s">
        <v>50</v>
      </c>
      <c r="F112" s="1">
        <v>5861</v>
      </c>
      <c r="G112" s="1">
        <v>487</v>
      </c>
      <c r="H112" s="1">
        <v>30</v>
      </c>
      <c r="I112" s="1" t="s">
        <v>63</v>
      </c>
      <c r="J112" s="1">
        <v>36</v>
      </c>
      <c r="K112" s="1" t="s">
        <v>25</v>
      </c>
      <c r="L112" s="1">
        <v>0</v>
      </c>
      <c r="M112" s="1">
        <v>0</v>
      </c>
      <c r="N112" s="1">
        <v>61</v>
      </c>
      <c r="O112" s="1" t="s">
        <v>26</v>
      </c>
      <c r="P112" s="1" t="s">
        <v>46</v>
      </c>
      <c r="Q112" s="1" t="s">
        <v>52</v>
      </c>
      <c r="R112" s="1">
        <v>46</v>
      </c>
      <c r="S112" s="1" t="s">
        <v>47</v>
      </c>
      <c r="T112" s="1">
        <v>4637</v>
      </c>
    </row>
    <row r="113" spans="1:20" ht="15.75" customHeight="1" x14ac:dyDescent="0.25">
      <c r="A113" s="1" t="s">
        <v>30</v>
      </c>
      <c r="B113" s="2">
        <v>45589</v>
      </c>
      <c r="C113" s="1" t="s">
        <v>39</v>
      </c>
      <c r="D113" s="1" t="s">
        <v>32</v>
      </c>
      <c r="E113" s="1" t="s">
        <v>33</v>
      </c>
      <c r="F113" s="1">
        <v>5375</v>
      </c>
      <c r="G113" s="1">
        <v>163</v>
      </c>
      <c r="H113" s="1">
        <v>64</v>
      </c>
      <c r="I113" s="1" t="s">
        <v>55</v>
      </c>
      <c r="J113" s="1">
        <v>33</v>
      </c>
      <c r="K113" s="1" t="s">
        <v>25</v>
      </c>
      <c r="L113" s="1">
        <v>0</v>
      </c>
      <c r="M113" s="1">
        <v>0</v>
      </c>
      <c r="N113" s="1">
        <v>65</v>
      </c>
      <c r="O113" s="1" t="s">
        <v>26</v>
      </c>
      <c r="P113" s="1" t="s">
        <v>27</v>
      </c>
      <c r="Q113" s="1" t="s">
        <v>36</v>
      </c>
      <c r="R113" s="1">
        <v>99</v>
      </c>
      <c r="S113" s="1" t="s">
        <v>37</v>
      </c>
      <c r="T113" s="1">
        <v>3688</v>
      </c>
    </row>
    <row r="114" spans="1:20" ht="15.75" customHeight="1" x14ac:dyDescent="0.25">
      <c r="A114" s="1" t="s">
        <v>136</v>
      </c>
      <c r="B114" s="2">
        <v>45412</v>
      </c>
      <c r="C114" s="1" t="s">
        <v>31</v>
      </c>
      <c r="D114" s="1" t="s">
        <v>49</v>
      </c>
      <c r="E114" s="1" t="s">
        <v>23</v>
      </c>
      <c r="F114" s="1">
        <v>13866</v>
      </c>
      <c r="G114" s="1">
        <v>3186</v>
      </c>
      <c r="H114" s="1">
        <v>300</v>
      </c>
      <c r="I114" s="1" t="s">
        <v>24</v>
      </c>
      <c r="J114" s="1">
        <v>14</v>
      </c>
      <c r="K114" s="1" t="s">
        <v>25</v>
      </c>
      <c r="L114" s="1">
        <v>0</v>
      </c>
      <c r="M114" s="1">
        <v>0</v>
      </c>
      <c r="O114" s="1" t="s">
        <v>26</v>
      </c>
      <c r="P114" s="1" t="s">
        <v>27</v>
      </c>
      <c r="Q114" s="1" t="s">
        <v>52</v>
      </c>
      <c r="R114" s="1">
        <v>58</v>
      </c>
      <c r="S114" s="1" t="s">
        <v>29</v>
      </c>
      <c r="T114" s="1">
        <v>2908</v>
      </c>
    </row>
    <row r="115" spans="1:20" ht="15.75" customHeight="1" x14ac:dyDescent="0.25">
      <c r="A115" s="1" t="s">
        <v>137</v>
      </c>
      <c r="B115" s="2">
        <v>45322</v>
      </c>
      <c r="C115" s="1" t="s">
        <v>21</v>
      </c>
      <c r="D115" s="1" t="s">
        <v>32</v>
      </c>
      <c r="E115" s="1" t="s">
        <v>23</v>
      </c>
      <c r="F115" s="1">
        <v>3581</v>
      </c>
      <c r="G115" s="1">
        <v>2442</v>
      </c>
      <c r="H115" s="1">
        <v>15</v>
      </c>
      <c r="I115" s="1" t="s">
        <v>63</v>
      </c>
      <c r="J115" s="1">
        <v>29</v>
      </c>
      <c r="K115" s="1" t="s">
        <v>25</v>
      </c>
      <c r="L115" s="1">
        <v>0</v>
      </c>
      <c r="M115" s="1">
        <v>0</v>
      </c>
      <c r="O115" s="1" t="s">
        <v>26</v>
      </c>
      <c r="P115" s="1" t="s">
        <v>51</v>
      </c>
      <c r="Q115" s="1" t="s">
        <v>43</v>
      </c>
      <c r="R115" s="1">
        <v>1</v>
      </c>
      <c r="S115" s="1" t="s">
        <v>29</v>
      </c>
      <c r="T115" s="1">
        <v>791</v>
      </c>
    </row>
    <row r="116" spans="1:20" ht="15.75" customHeight="1" x14ac:dyDescent="0.25">
      <c r="A116" s="1" t="s">
        <v>88</v>
      </c>
      <c r="B116" s="2">
        <v>45559</v>
      </c>
      <c r="C116" s="1" t="s">
        <v>39</v>
      </c>
      <c r="D116" s="1" t="s">
        <v>32</v>
      </c>
      <c r="E116" s="1" t="s">
        <v>23</v>
      </c>
      <c r="F116" s="1">
        <v>6112</v>
      </c>
      <c r="G116" s="1">
        <v>3933</v>
      </c>
      <c r="H116" s="1">
        <v>30</v>
      </c>
      <c r="I116" s="1" t="s">
        <v>40</v>
      </c>
      <c r="J116" s="1">
        <v>19</v>
      </c>
      <c r="K116" s="1" t="s">
        <v>25</v>
      </c>
      <c r="L116" s="1">
        <v>0</v>
      </c>
      <c r="M116" s="1">
        <v>0</v>
      </c>
      <c r="N116" s="1">
        <v>28</v>
      </c>
      <c r="O116" s="1" t="s">
        <v>26</v>
      </c>
      <c r="P116" s="1" t="s">
        <v>59</v>
      </c>
      <c r="Q116" s="1" t="s">
        <v>36</v>
      </c>
      <c r="R116" s="1">
        <v>21</v>
      </c>
      <c r="S116" s="1" t="s">
        <v>47</v>
      </c>
      <c r="T116" s="1">
        <v>4722</v>
      </c>
    </row>
    <row r="117" spans="1:20" ht="15.75" customHeight="1" x14ac:dyDescent="0.25">
      <c r="A117" s="1" t="s">
        <v>138</v>
      </c>
      <c r="B117" s="2">
        <v>45617</v>
      </c>
      <c r="C117" s="1" t="s">
        <v>31</v>
      </c>
      <c r="D117" s="1" t="s">
        <v>32</v>
      </c>
      <c r="E117" s="1" t="s">
        <v>50</v>
      </c>
      <c r="F117" s="1">
        <v>18983</v>
      </c>
      <c r="G117" s="1">
        <v>1800</v>
      </c>
      <c r="H117" s="1">
        <v>161</v>
      </c>
      <c r="I117" s="1" t="s">
        <v>34</v>
      </c>
      <c r="J117" s="1">
        <v>8</v>
      </c>
      <c r="K117" s="1" t="s">
        <v>41</v>
      </c>
      <c r="L117" s="1">
        <v>341</v>
      </c>
      <c r="M117" s="1">
        <v>170.5</v>
      </c>
      <c r="N117" s="1">
        <v>62</v>
      </c>
      <c r="O117" s="1" t="s">
        <v>42</v>
      </c>
      <c r="P117" s="1" t="s">
        <v>27</v>
      </c>
      <c r="Q117" s="1" t="s">
        <v>36</v>
      </c>
      <c r="R117" s="1">
        <v>26</v>
      </c>
      <c r="S117" s="1" t="s">
        <v>37</v>
      </c>
      <c r="T117" s="1">
        <v>1057</v>
      </c>
    </row>
    <row r="118" spans="1:20" ht="15.75" customHeight="1" x14ac:dyDescent="0.25">
      <c r="A118" s="1" t="s">
        <v>139</v>
      </c>
      <c r="B118" s="2">
        <v>45341</v>
      </c>
      <c r="C118" s="1" t="s">
        <v>54</v>
      </c>
      <c r="D118" s="1" t="s">
        <v>32</v>
      </c>
      <c r="E118" s="1" t="s">
        <v>50</v>
      </c>
      <c r="F118" s="1">
        <v>14533</v>
      </c>
      <c r="G118" s="1">
        <v>2919</v>
      </c>
      <c r="H118" s="1">
        <v>200</v>
      </c>
      <c r="I118" s="1" t="s">
        <v>63</v>
      </c>
      <c r="J118" s="1">
        <v>7</v>
      </c>
      <c r="K118" s="1" t="s">
        <v>25</v>
      </c>
      <c r="L118" s="1">
        <v>0</v>
      </c>
      <c r="M118" s="1">
        <v>0</v>
      </c>
      <c r="O118" s="1" t="s">
        <v>42</v>
      </c>
      <c r="P118" s="1" t="s">
        <v>35</v>
      </c>
      <c r="Q118" s="1" t="s">
        <v>43</v>
      </c>
      <c r="R118" s="1">
        <v>87</v>
      </c>
      <c r="S118" s="1" t="s">
        <v>37</v>
      </c>
      <c r="T118" s="1">
        <v>2102</v>
      </c>
    </row>
    <row r="119" spans="1:20" ht="15.75" customHeight="1" x14ac:dyDescent="0.25">
      <c r="A119" s="1" t="s">
        <v>140</v>
      </c>
      <c r="B119" s="2">
        <v>45792</v>
      </c>
      <c r="C119" s="1" t="s">
        <v>21</v>
      </c>
      <c r="D119" s="1" t="s">
        <v>22</v>
      </c>
      <c r="E119" s="1" t="s">
        <v>50</v>
      </c>
      <c r="F119" s="1">
        <v>17673</v>
      </c>
      <c r="G119" s="1">
        <v>4773</v>
      </c>
      <c r="H119" s="1">
        <v>286</v>
      </c>
      <c r="I119" s="1" t="s">
        <v>24</v>
      </c>
      <c r="J119" s="1">
        <v>8</v>
      </c>
      <c r="K119" s="1" t="s">
        <v>41</v>
      </c>
      <c r="L119" s="1">
        <v>686</v>
      </c>
      <c r="M119" s="1">
        <v>686</v>
      </c>
      <c r="N119" s="1">
        <v>57</v>
      </c>
      <c r="O119" s="1" t="s">
        <v>26</v>
      </c>
      <c r="P119" s="1" t="s">
        <v>35</v>
      </c>
      <c r="Q119" s="1" t="s">
        <v>28</v>
      </c>
      <c r="R119" s="1">
        <v>83</v>
      </c>
      <c r="S119" s="1" t="s">
        <v>29</v>
      </c>
      <c r="T119" s="1">
        <v>3558</v>
      </c>
    </row>
    <row r="120" spans="1:20" ht="15.75" customHeight="1" x14ac:dyDescent="0.25">
      <c r="A120" s="1" t="s">
        <v>76</v>
      </c>
      <c r="B120" s="2">
        <v>45430</v>
      </c>
      <c r="C120" s="1" t="s">
        <v>39</v>
      </c>
      <c r="D120" s="1" t="s">
        <v>22</v>
      </c>
      <c r="E120" s="1" t="s">
        <v>24</v>
      </c>
      <c r="F120" s="1">
        <v>3182</v>
      </c>
      <c r="G120" s="1">
        <v>697</v>
      </c>
      <c r="H120" s="1">
        <v>204</v>
      </c>
      <c r="I120" s="1" t="s">
        <v>34</v>
      </c>
      <c r="J120" s="1">
        <v>1</v>
      </c>
      <c r="K120" s="1" t="s">
        <v>25</v>
      </c>
      <c r="L120" s="1">
        <v>0</v>
      </c>
      <c r="M120" s="1">
        <v>0</v>
      </c>
      <c r="O120" s="1" t="s">
        <v>26</v>
      </c>
      <c r="P120" s="1" t="s">
        <v>27</v>
      </c>
      <c r="Q120" s="1" t="s">
        <v>36</v>
      </c>
      <c r="R120" s="1">
        <v>21</v>
      </c>
      <c r="S120" s="1" t="s">
        <v>47</v>
      </c>
      <c r="T120" s="1">
        <v>5975</v>
      </c>
    </row>
    <row r="121" spans="1:20" ht="15.75" customHeight="1" x14ac:dyDescent="0.25">
      <c r="A121" s="1" t="s">
        <v>122</v>
      </c>
      <c r="B121" s="2">
        <v>45424</v>
      </c>
      <c r="C121" s="1" t="s">
        <v>31</v>
      </c>
      <c r="D121" s="1" t="s">
        <v>45</v>
      </c>
      <c r="E121" s="1" t="s">
        <v>33</v>
      </c>
      <c r="F121" s="1">
        <v>14373</v>
      </c>
      <c r="G121" s="1">
        <v>3241</v>
      </c>
      <c r="H121" s="1">
        <v>177</v>
      </c>
      <c r="I121" s="1" t="s">
        <v>55</v>
      </c>
      <c r="J121" s="1">
        <v>12</v>
      </c>
      <c r="K121" s="1" t="s">
        <v>25</v>
      </c>
      <c r="L121" s="1">
        <v>0</v>
      </c>
      <c r="M121" s="1">
        <v>0</v>
      </c>
      <c r="N121" s="1">
        <v>20</v>
      </c>
      <c r="O121" s="1" t="s">
        <v>26</v>
      </c>
      <c r="P121" s="1" t="s">
        <v>51</v>
      </c>
      <c r="Q121" s="1" t="s">
        <v>52</v>
      </c>
      <c r="R121" s="1">
        <v>1</v>
      </c>
      <c r="S121" s="1" t="s">
        <v>47</v>
      </c>
      <c r="T121" s="1">
        <v>686</v>
      </c>
    </row>
    <row r="122" spans="1:20" ht="15.75" customHeight="1" x14ac:dyDescent="0.25">
      <c r="A122" s="1" t="s">
        <v>141</v>
      </c>
      <c r="B122" s="2">
        <v>45388</v>
      </c>
      <c r="C122" s="1" t="s">
        <v>54</v>
      </c>
      <c r="D122" s="1" t="s">
        <v>49</v>
      </c>
      <c r="E122" s="1" t="s">
        <v>23</v>
      </c>
      <c r="F122" s="1">
        <v>14240</v>
      </c>
      <c r="G122" s="1">
        <v>3857</v>
      </c>
      <c r="H122" s="1">
        <v>167</v>
      </c>
      <c r="I122" s="1" t="s">
        <v>24</v>
      </c>
      <c r="J122" s="1">
        <v>26</v>
      </c>
      <c r="K122" s="1" t="s">
        <v>25</v>
      </c>
      <c r="L122" s="1">
        <v>0</v>
      </c>
      <c r="M122" s="1">
        <v>0</v>
      </c>
      <c r="O122" s="1" t="s">
        <v>42</v>
      </c>
      <c r="P122" s="1" t="s">
        <v>59</v>
      </c>
      <c r="Q122" s="1" t="s">
        <v>36</v>
      </c>
      <c r="R122" s="1">
        <v>32</v>
      </c>
      <c r="S122" s="1" t="s">
        <v>29</v>
      </c>
      <c r="T122" s="1">
        <v>320</v>
      </c>
    </row>
    <row r="123" spans="1:20" ht="15.75" customHeight="1" x14ac:dyDescent="0.25">
      <c r="A123" s="1" t="s">
        <v>88</v>
      </c>
      <c r="B123" s="2">
        <v>45483</v>
      </c>
      <c r="C123" s="1" t="s">
        <v>39</v>
      </c>
      <c r="D123" s="1" t="s">
        <v>22</v>
      </c>
      <c r="E123" s="1" t="s">
        <v>50</v>
      </c>
      <c r="F123" s="1">
        <v>4896</v>
      </c>
      <c r="G123" s="1">
        <v>4726</v>
      </c>
      <c r="H123" s="1">
        <v>254</v>
      </c>
      <c r="I123" s="1" t="s">
        <v>58</v>
      </c>
      <c r="J123" s="1">
        <v>33</v>
      </c>
      <c r="K123" s="1" t="s">
        <v>41</v>
      </c>
      <c r="L123" s="1">
        <v>406</v>
      </c>
      <c r="M123" s="1">
        <v>203</v>
      </c>
      <c r="N123" s="1">
        <v>22</v>
      </c>
      <c r="O123" s="1" t="s">
        <v>42</v>
      </c>
      <c r="P123" s="1" t="s">
        <v>51</v>
      </c>
      <c r="Q123" s="1" t="s">
        <v>36</v>
      </c>
      <c r="R123" s="1">
        <v>98</v>
      </c>
      <c r="S123" s="1" t="s">
        <v>37</v>
      </c>
      <c r="T123" s="1">
        <v>5036</v>
      </c>
    </row>
    <row r="124" spans="1:20" ht="15.75" customHeight="1" x14ac:dyDescent="0.25">
      <c r="A124" s="1" t="s">
        <v>68</v>
      </c>
      <c r="B124" s="2">
        <v>45578</v>
      </c>
      <c r="C124" s="1" t="s">
        <v>39</v>
      </c>
      <c r="D124" s="1" t="s">
        <v>32</v>
      </c>
      <c r="E124" s="1" t="s">
        <v>24</v>
      </c>
      <c r="F124" s="1">
        <v>18678</v>
      </c>
      <c r="G124" s="1">
        <v>533</v>
      </c>
      <c r="H124" s="1">
        <v>170</v>
      </c>
      <c r="I124" s="1" t="s">
        <v>40</v>
      </c>
      <c r="J124" s="1">
        <v>40</v>
      </c>
      <c r="K124" s="1" t="s">
        <v>25</v>
      </c>
      <c r="L124" s="1">
        <v>0</v>
      </c>
      <c r="M124" s="1">
        <v>0</v>
      </c>
      <c r="O124" s="1" t="s">
        <v>42</v>
      </c>
      <c r="P124" s="1" t="s">
        <v>27</v>
      </c>
      <c r="Q124" s="1" t="s">
        <v>52</v>
      </c>
      <c r="R124" s="1">
        <v>43</v>
      </c>
      <c r="S124" s="1" t="s">
        <v>47</v>
      </c>
      <c r="T124" s="1">
        <v>801</v>
      </c>
    </row>
    <row r="125" spans="1:20" ht="15.75" customHeight="1" x14ac:dyDescent="0.25">
      <c r="A125" s="1" t="s">
        <v>142</v>
      </c>
      <c r="B125" s="2">
        <v>45718</v>
      </c>
      <c r="C125" s="1" t="s">
        <v>39</v>
      </c>
      <c r="D125" s="1" t="s">
        <v>49</v>
      </c>
      <c r="E125" s="1" t="s">
        <v>33</v>
      </c>
      <c r="F125" s="1">
        <v>906</v>
      </c>
      <c r="G125" s="1">
        <v>634</v>
      </c>
      <c r="H125" s="1">
        <v>227</v>
      </c>
      <c r="I125" s="1" t="s">
        <v>55</v>
      </c>
      <c r="J125" s="1">
        <v>8</v>
      </c>
      <c r="K125" s="1" t="s">
        <v>25</v>
      </c>
      <c r="L125" s="1">
        <v>0</v>
      </c>
      <c r="M125" s="1">
        <v>0</v>
      </c>
      <c r="N125" s="1">
        <v>32</v>
      </c>
      <c r="O125" s="1" t="s">
        <v>26</v>
      </c>
      <c r="P125" s="1" t="s">
        <v>27</v>
      </c>
      <c r="Q125" s="1" t="s">
        <v>36</v>
      </c>
      <c r="R125" s="1">
        <v>40</v>
      </c>
      <c r="S125" s="1" t="s">
        <v>29</v>
      </c>
      <c r="T125" s="1">
        <v>5181</v>
      </c>
    </row>
    <row r="126" spans="1:20" ht="15.75" customHeight="1" x14ac:dyDescent="0.25">
      <c r="A126" s="1" t="s">
        <v>77</v>
      </c>
      <c r="B126" s="2">
        <v>45647</v>
      </c>
      <c r="C126" s="1" t="s">
        <v>54</v>
      </c>
      <c r="D126" s="1" t="s">
        <v>45</v>
      </c>
      <c r="E126" s="1" t="s">
        <v>24</v>
      </c>
      <c r="F126" s="1">
        <v>14422</v>
      </c>
      <c r="G126" s="1">
        <v>2510</v>
      </c>
      <c r="H126" s="1">
        <v>267</v>
      </c>
      <c r="I126" s="1" t="s">
        <v>34</v>
      </c>
      <c r="J126" s="1">
        <v>22</v>
      </c>
      <c r="K126" s="1" t="s">
        <v>41</v>
      </c>
      <c r="L126" s="1">
        <v>860</v>
      </c>
      <c r="M126" s="1">
        <v>860</v>
      </c>
      <c r="N126" s="1">
        <v>54</v>
      </c>
      <c r="O126" s="1" t="s">
        <v>26</v>
      </c>
      <c r="P126" s="1" t="s">
        <v>46</v>
      </c>
      <c r="Q126" s="1" t="s">
        <v>36</v>
      </c>
      <c r="R126" s="1">
        <v>28</v>
      </c>
      <c r="S126" s="1" t="s">
        <v>29</v>
      </c>
      <c r="T126" s="1">
        <v>2443</v>
      </c>
    </row>
    <row r="127" spans="1:20" ht="15.75" customHeight="1" x14ac:dyDescent="0.25">
      <c r="A127" s="1" t="s">
        <v>106</v>
      </c>
      <c r="B127" s="2">
        <v>45635</v>
      </c>
      <c r="C127" s="1" t="s">
        <v>39</v>
      </c>
      <c r="D127" s="1" t="s">
        <v>49</v>
      </c>
      <c r="E127" s="1" t="s">
        <v>23</v>
      </c>
      <c r="F127" s="1">
        <v>4652</v>
      </c>
      <c r="G127" s="1">
        <v>114</v>
      </c>
      <c r="H127" s="1">
        <v>172</v>
      </c>
      <c r="I127" s="1" t="s">
        <v>40</v>
      </c>
      <c r="J127" s="1">
        <v>38</v>
      </c>
      <c r="K127" s="1" t="s">
        <v>25</v>
      </c>
      <c r="L127" s="1">
        <v>0</v>
      </c>
      <c r="M127" s="1">
        <v>0</v>
      </c>
      <c r="O127" s="1" t="s">
        <v>26</v>
      </c>
      <c r="P127" s="1" t="s">
        <v>59</v>
      </c>
      <c r="Q127" s="1" t="s">
        <v>52</v>
      </c>
      <c r="R127" s="1">
        <v>7</v>
      </c>
      <c r="S127" s="1" t="s">
        <v>29</v>
      </c>
      <c r="T127" s="1">
        <v>2076</v>
      </c>
    </row>
    <row r="128" spans="1:20" ht="15.75" customHeight="1" x14ac:dyDescent="0.25">
      <c r="A128" s="1" t="s">
        <v>138</v>
      </c>
      <c r="B128" s="2">
        <v>45677</v>
      </c>
      <c r="C128" s="1" t="s">
        <v>31</v>
      </c>
      <c r="D128" s="1" t="s">
        <v>32</v>
      </c>
      <c r="E128" s="1" t="s">
        <v>23</v>
      </c>
      <c r="F128" s="1">
        <v>4675</v>
      </c>
      <c r="G128" s="1">
        <v>1049</v>
      </c>
      <c r="H128" s="1">
        <v>243</v>
      </c>
      <c r="I128" s="1" t="s">
        <v>55</v>
      </c>
      <c r="J128" s="1">
        <v>6</v>
      </c>
      <c r="K128" s="1" t="s">
        <v>41</v>
      </c>
      <c r="L128" s="1">
        <v>610</v>
      </c>
      <c r="M128" s="1">
        <v>203.33</v>
      </c>
      <c r="O128" s="1" t="s">
        <v>42</v>
      </c>
      <c r="P128" s="1" t="s">
        <v>51</v>
      </c>
      <c r="Q128" s="1" t="s">
        <v>52</v>
      </c>
      <c r="R128" s="1">
        <v>41</v>
      </c>
      <c r="S128" s="1" t="s">
        <v>37</v>
      </c>
      <c r="T128" s="1">
        <v>2590</v>
      </c>
    </row>
    <row r="129" spans="1:20" ht="15.75" customHeight="1" x14ac:dyDescent="0.25">
      <c r="A129" s="1" t="s">
        <v>138</v>
      </c>
      <c r="B129" s="2">
        <v>45690</v>
      </c>
      <c r="C129" s="1" t="s">
        <v>57</v>
      </c>
      <c r="D129" s="1" t="s">
        <v>22</v>
      </c>
      <c r="E129" s="1" t="s">
        <v>33</v>
      </c>
      <c r="F129" s="1">
        <v>8607</v>
      </c>
      <c r="G129" s="1">
        <v>2581</v>
      </c>
      <c r="H129" s="1">
        <v>228</v>
      </c>
      <c r="I129" s="1" t="s">
        <v>24</v>
      </c>
      <c r="J129" s="1">
        <v>35</v>
      </c>
      <c r="K129" s="1" t="s">
        <v>41</v>
      </c>
      <c r="L129" s="1">
        <v>270</v>
      </c>
      <c r="M129" s="1">
        <v>270</v>
      </c>
      <c r="N129" s="1">
        <v>21</v>
      </c>
      <c r="O129" s="1" t="s">
        <v>26</v>
      </c>
      <c r="P129" s="1" t="s">
        <v>46</v>
      </c>
      <c r="Q129" s="1" t="s">
        <v>28</v>
      </c>
      <c r="R129" s="1">
        <v>28</v>
      </c>
      <c r="S129" s="1" t="s">
        <v>37</v>
      </c>
      <c r="T129" s="1">
        <v>2712</v>
      </c>
    </row>
    <row r="130" spans="1:20" ht="15.75" customHeight="1" x14ac:dyDescent="0.25">
      <c r="A130" s="1" t="s">
        <v>82</v>
      </c>
      <c r="B130" s="2">
        <v>45482</v>
      </c>
      <c r="C130" s="1" t="s">
        <v>54</v>
      </c>
      <c r="D130" s="1" t="s">
        <v>49</v>
      </c>
      <c r="E130" s="1" t="s">
        <v>24</v>
      </c>
      <c r="F130" s="1">
        <v>7238</v>
      </c>
      <c r="G130" s="1">
        <v>2480</v>
      </c>
      <c r="H130" s="1">
        <v>154</v>
      </c>
      <c r="I130" s="1" t="s">
        <v>40</v>
      </c>
      <c r="J130" s="1">
        <v>8</v>
      </c>
      <c r="K130" s="1" t="s">
        <v>25</v>
      </c>
      <c r="L130" s="1">
        <v>0</v>
      </c>
      <c r="M130" s="1">
        <v>0</v>
      </c>
      <c r="N130" s="1">
        <v>29</v>
      </c>
      <c r="O130" s="1" t="s">
        <v>26</v>
      </c>
      <c r="P130" s="1" t="s">
        <v>46</v>
      </c>
      <c r="Q130" s="1" t="s">
        <v>52</v>
      </c>
      <c r="R130" s="1">
        <v>25</v>
      </c>
      <c r="S130" s="1" t="s">
        <v>29</v>
      </c>
      <c r="T130" s="1">
        <v>2435</v>
      </c>
    </row>
    <row r="131" spans="1:20" ht="15.75" customHeight="1" x14ac:dyDescent="0.25">
      <c r="A131" s="1" t="s">
        <v>143</v>
      </c>
      <c r="B131" s="2">
        <v>45393</v>
      </c>
      <c r="C131" s="1" t="s">
        <v>54</v>
      </c>
      <c r="D131" s="1" t="s">
        <v>45</v>
      </c>
      <c r="E131" s="1" t="s">
        <v>33</v>
      </c>
      <c r="F131" s="1">
        <v>13928</v>
      </c>
      <c r="G131" s="1">
        <v>3922</v>
      </c>
      <c r="H131" s="1">
        <v>247</v>
      </c>
      <c r="I131" s="1" t="s">
        <v>58</v>
      </c>
      <c r="J131" s="1">
        <v>15</v>
      </c>
      <c r="K131" s="1" t="s">
        <v>25</v>
      </c>
      <c r="L131" s="1">
        <v>0</v>
      </c>
      <c r="M131" s="1">
        <v>0</v>
      </c>
      <c r="N131" s="1">
        <v>27</v>
      </c>
      <c r="O131" s="1" t="s">
        <v>26</v>
      </c>
      <c r="P131" s="1" t="s">
        <v>59</v>
      </c>
      <c r="Q131" s="1" t="s">
        <v>36</v>
      </c>
      <c r="R131" s="1">
        <v>8</v>
      </c>
      <c r="S131" s="1" t="s">
        <v>37</v>
      </c>
      <c r="T131" s="1">
        <v>2586</v>
      </c>
    </row>
    <row r="132" spans="1:20" ht="15.75" customHeight="1" x14ac:dyDescent="0.25">
      <c r="A132" s="1" t="s">
        <v>131</v>
      </c>
      <c r="B132" s="2">
        <v>45447</v>
      </c>
      <c r="C132" s="1" t="s">
        <v>54</v>
      </c>
      <c r="D132" s="1" t="s">
        <v>32</v>
      </c>
      <c r="E132" s="1" t="s">
        <v>33</v>
      </c>
      <c r="F132" s="1">
        <v>10349</v>
      </c>
      <c r="G132" s="1">
        <v>2013</v>
      </c>
      <c r="H132" s="1">
        <v>234</v>
      </c>
      <c r="I132" s="1" t="s">
        <v>58</v>
      </c>
      <c r="J132" s="1">
        <v>17</v>
      </c>
      <c r="K132" s="1" t="s">
        <v>25</v>
      </c>
      <c r="L132" s="1">
        <v>0</v>
      </c>
      <c r="M132" s="1">
        <v>0</v>
      </c>
      <c r="N132" s="1">
        <v>44</v>
      </c>
      <c r="O132" s="1" t="s">
        <v>26</v>
      </c>
      <c r="P132" s="1" t="s">
        <v>46</v>
      </c>
      <c r="Q132" s="1" t="s">
        <v>28</v>
      </c>
      <c r="R132" s="1">
        <v>98</v>
      </c>
      <c r="S132" s="1" t="s">
        <v>29</v>
      </c>
      <c r="T132" s="1">
        <v>2091</v>
      </c>
    </row>
    <row r="133" spans="1:20" ht="15.75" customHeight="1" x14ac:dyDescent="0.25">
      <c r="A133" s="1" t="s">
        <v>56</v>
      </c>
      <c r="B133" s="2">
        <v>45355</v>
      </c>
      <c r="C133" s="1" t="s">
        <v>39</v>
      </c>
      <c r="D133" s="1" t="s">
        <v>45</v>
      </c>
      <c r="E133" s="1" t="s">
        <v>24</v>
      </c>
      <c r="F133" s="1">
        <v>18465</v>
      </c>
      <c r="G133" s="1">
        <v>4029</v>
      </c>
      <c r="H133" s="1">
        <v>89</v>
      </c>
      <c r="I133" s="1" t="s">
        <v>24</v>
      </c>
      <c r="J133" s="1">
        <v>39</v>
      </c>
      <c r="K133" s="1" t="s">
        <v>25</v>
      </c>
      <c r="L133" s="1">
        <v>0</v>
      </c>
      <c r="M133" s="1">
        <v>0</v>
      </c>
      <c r="N133" s="1">
        <v>42</v>
      </c>
      <c r="O133" s="1" t="s">
        <v>42</v>
      </c>
      <c r="P133" s="1" t="s">
        <v>59</v>
      </c>
      <c r="Q133" s="1" t="s">
        <v>43</v>
      </c>
      <c r="R133" s="1">
        <v>50</v>
      </c>
      <c r="S133" s="1" t="s">
        <v>29</v>
      </c>
      <c r="T133" s="1">
        <v>3347</v>
      </c>
    </row>
    <row r="134" spans="1:20" ht="15.75" customHeight="1" x14ac:dyDescent="0.25">
      <c r="A134" s="1" t="s">
        <v>144</v>
      </c>
      <c r="B134" s="2">
        <v>45421</v>
      </c>
      <c r="C134" s="1" t="s">
        <v>31</v>
      </c>
      <c r="D134" s="1" t="s">
        <v>32</v>
      </c>
      <c r="E134" s="1" t="s">
        <v>33</v>
      </c>
      <c r="F134" s="1">
        <v>6322</v>
      </c>
      <c r="G134" s="1">
        <v>1211</v>
      </c>
      <c r="H134" s="1">
        <v>279</v>
      </c>
      <c r="I134" s="1" t="s">
        <v>58</v>
      </c>
      <c r="J134" s="1">
        <v>8</v>
      </c>
      <c r="K134" s="1" t="s">
        <v>25</v>
      </c>
      <c r="L134" s="1">
        <v>0</v>
      </c>
      <c r="M134" s="1">
        <v>0</v>
      </c>
      <c r="N134" s="1">
        <v>20</v>
      </c>
      <c r="O134" s="1" t="s">
        <v>42</v>
      </c>
      <c r="P134" s="1" t="s">
        <v>27</v>
      </c>
      <c r="Q134" s="1" t="s">
        <v>43</v>
      </c>
      <c r="R134" s="1">
        <v>89</v>
      </c>
      <c r="S134" s="1" t="s">
        <v>47</v>
      </c>
      <c r="T134" s="1">
        <v>1863</v>
      </c>
    </row>
    <row r="135" spans="1:20" ht="15.75" customHeight="1" x14ac:dyDescent="0.25">
      <c r="A135" s="1" t="s">
        <v>133</v>
      </c>
      <c r="B135" s="2">
        <v>45362</v>
      </c>
      <c r="C135" s="1" t="s">
        <v>57</v>
      </c>
      <c r="D135" s="1" t="s">
        <v>45</v>
      </c>
      <c r="E135" s="1" t="s">
        <v>33</v>
      </c>
      <c r="F135" s="1">
        <v>11714</v>
      </c>
      <c r="G135" s="1">
        <v>4171</v>
      </c>
      <c r="H135" s="1">
        <v>140</v>
      </c>
      <c r="I135" s="1" t="s">
        <v>55</v>
      </c>
      <c r="J135" s="1">
        <v>4</v>
      </c>
      <c r="K135" s="1" t="s">
        <v>25</v>
      </c>
      <c r="L135" s="1">
        <v>0</v>
      </c>
      <c r="M135" s="1">
        <v>0</v>
      </c>
      <c r="O135" s="1" t="s">
        <v>26</v>
      </c>
      <c r="P135" s="1" t="s">
        <v>35</v>
      </c>
      <c r="Q135" s="1" t="s">
        <v>36</v>
      </c>
      <c r="R135" s="1">
        <v>89</v>
      </c>
      <c r="S135" s="1" t="s">
        <v>47</v>
      </c>
      <c r="T135" s="1">
        <v>1433</v>
      </c>
    </row>
    <row r="136" spans="1:20" ht="15.75" customHeight="1" x14ac:dyDescent="0.25">
      <c r="A136" s="1" t="s">
        <v>145</v>
      </c>
      <c r="B136" s="2">
        <v>45439</v>
      </c>
      <c r="C136" s="1" t="s">
        <v>39</v>
      </c>
      <c r="D136" s="1" t="s">
        <v>45</v>
      </c>
      <c r="E136" s="1" t="s">
        <v>24</v>
      </c>
      <c r="F136" s="1">
        <v>9699</v>
      </c>
      <c r="G136" s="1">
        <v>222</v>
      </c>
      <c r="H136" s="1">
        <v>37</v>
      </c>
      <c r="I136" s="1" t="s">
        <v>24</v>
      </c>
      <c r="J136" s="1">
        <v>21</v>
      </c>
      <c r="K136" s="1" t="s">
        <v>41</v>
      </c>
      <c r="L136" s="1">
        <v>489</v>
      </c>
      <c r="M136" s="1">
        <v>489</v>
      </c>
      <c r="N136" s="1">
        <v>33</v>
      </c>
      <c r="O136" s="1" t="s">
        <v>26</v>
      </c>
      <c r="P136" s="1" t="s">
        <v>59</v>
      </c>
      <c r="Q136" s="1" t="s">
        <v>28</v>
      </c>
      <c r="R136" s="1">
        <v>32</v>
      </c>
      <c r="S136" s="1" t="s">
        <v>47</v>
      </c>
      <c r="T136" s="1">
        <v>4644</v>
      </c>
    </row>
    <row r="137" spans="1:20" ht="15.75" customHeight="1" x14ac:dyDescent="0.25">
      <c r="A137" s="1" t="s">
        <v>92</v>
      </c>
      <c r="B137" s="2">
        <v>45438</v>
      </c>
      <c r="C137" s="1" t="s">
        <v>21</v>
      </c>
      <c r="D137" s="1" t="s">
        <v>22</v>
      </c>
      <c r="E137" s="1" t="s">
        <v>33</v>
      </c>
      <c r="F137" s="1">
        <v>4342</v>
      </c>
      <c r="G137" s="1">
        <v>386</v>
      </c>
      <c r="H137" s="1">
        <v>109</v>
      </c>
      <c r="I137" s="1" t="s">
        <v>63</v>
      </c>
      <c r="J137" s="1">
        <v>20</v>
      </c>
      <c r="K137" s="1" t="s">
        <v>25</v>
      </c>
      <c r="L137" s="1">
        <v>0</v>
      </c>
      <c r="M137" s="1">
        <v>0</v>
      </c>
      <c r="N137" s="1">
        <v>21</v>
      </c>
      <c r="O137" s="1" t="s">
        <v>42</v>
      </c>
      <c r="P137" s="1" t="s">
        <v>46</v>
      </c>
      <c r="Q137" s="1" t="s">
        <v>43</v>
      </c>
      <c r="R137" s="1">
        <v>49</v>
      </c>
      <c r="S137" s="1" t="s">
        <v>37</v>
      </c>
      <c r="T137" s="1">
        <v>3080</v>
      </c>
    </row>
    <row r="138" spans="1:20" ht="15.75" customHeight="1" x14ac:dyDescent="0.25">
      <c r="A138" s="1" t="s">
        <v>81</v>
      </c>
      <c r="B138" s="2">
        <v>45600</v>
      </c>
      <c r="C138" s="1" t="s">
        <v>21</v>
      </c>
      <c r="D138" s="1" t="s">
        <v>45</v>
      </c>
      <c r="E138" s="1" t="s">
        <v>24</v>
      </c>
      <c r="F138" s="1">
        <v>2879</v>
      </c>
      <c r="G138" s="1">
        <v>4628</v>
      </c>
      <c r="H138" s="1">
        <v>239</v>
      </c>
      <c r="I138" s="1" t="s">
        <v>63</v>
      </c>
      <c r="J138" s="1">
        <v>32</v>
      </c>
      <c r="K138" s="1" t="s">
        <v>25</v>
      </c>
      <c r="L138" s="1">
        <v>0</v>
      </c>
      <c r="M138" s="1">
        <v>0</v>
      </c>
      <c r="O138" s="1" t="s">
        <v>42</v>
      </c>
      <c r="P138" s="1" t="s">
        <v>27</v>
      </c>
      <c r="Q138" s="1" t="s">
        <v>52</v>
      </c>
      <c r="R138" s="1">
        <v>35</v>
      </c>
      <c r="S138" s="1" t="s">
        <v>37</v>
      </c>
      <c r="T138" s="1">
        <v>4527</v>
      </c>
    </row>
    <row r="139" spans="1:20" ht="15.75" customHeight="1" x14ac:dyDescent="0.25">
      <c r="A139" s="1" t="s">
        <v>146</v>
      </c>
      <c r="B139" s="2">
        <v>45311</v>
      </c>
      <c r="C139" s="1" t="s">
        <v>57</v>
      </c>
      <c r="D139" s="1" t="s">
        <v>22</v>
      </c>
      <c r="E139" s="1" t="s">
        <v>24</v>
      </c>
      <c r="F139" s="1">
        <v>6502</v>
      </c>
      <c r="G139" s="1">
        <v>4583</v>
      </c>
      <c r="H139" s="1">
        <v>110</v>
      </c>
      <c r="I139" s="1" t="s">
        <v>34</v>
      </c>
      <c r="J139" s="1">
        <v>19</v>
      </c>
      <c r="K139" s="1" t="s">
        <v>25</v>
      </c>
      <c r="L139" s="1">
        <v>0</v>
      </c>
      <c r="M139" s="1">
        <v>0</v>
      </c>
      <c r="O139" s="1" t="s">
        <v>42</v>
      </c>
      <c r="P139" s="1" t="s">
        <v>59</v>
      </c>
      <c r="Q139" s="1" t="s">
        <v>52</v>
      </c>
      <c r="R139" s="1">
        <v>29</v>
      </c>
      <c r="S139" s="1" t="s">
        <v>37</v>
      </c>
      <c r="T139" s="1">
        <v>2227</v>
      </c>
    </row>
    <row r="140" spans="1:20" ht="15.75" customHeight="1" x14ac:dyDescent="0.25">
      <c r="A140" s="1" t="s">
        <v>147</v>
      </c>
      <c r="B140" s="2">
        <v>45687</v>
      </c>
      <c r="C140" s="1" t="s">
        <v>54</v>
      </c>
      <c r="D140" s="1" t="s">
        <v>45</v>
      </c>
      <c r="E140" s="1" t="s">
        <v>23</v>
      </c>
      <c r="F140" s="1">
        <v>13761</v>
      </c>
      <c r="G140" s="1">
        <v>4169</v>
      </c>
      <c r="H140" s="1">
        <v>110</v>
      </c>
      <c r="I140" s="1" t="s">
        <v>63</v>
      </c>
      <c r="J140" s="1">
        <v>1</v>
      </c>
      <c r="K140" s="1" t="s">
        <v>25</v>
      </c>
      <c r="L140" s="1">
        <v>0</v>
      </c>
      <c r="M140" s="1">
        <v>0</v>
      </c>
      <c r="O140" s="1" t="s">
        <v>42</v>
      </c>
      <c r="P140" s="1" t="s">
        <v>27</v>
      </c>
      <c r="Q140" s="1" t="s">
        <v>36</v>
      </c>
      <c r="R140" s="1">
        <v>57</v>
      </c>
      <c r="S140" s="1" t="s">
        <v>47</v>
      </c>
      <c r="T140" s="1">
        <v>3854</v>
      </c>
    </row>
    <row r="141" spans="1:20" ht="15.75" customHeight="1" x14ac:dyDescent="0.25">
      <c r="A141" s="1" t="s">
        <v>148</v>
      </c>
      <c r="B141" s="2">
        <v>45652</v>
      </c>
      <c r="C141" s="1" t="s">
        <v>54</v>
      </c>
      <c r="D141" s="1" t="s">
        <v>32</v>
      </c>
      <c r="E141" s="1" t="s">
        <v>24</v>
      </c>
      <c r="F141" s="1">
        <v>1694</v>
      </c>
      <c r="G141" s="1">
        <v>313</v>
      </c>
      <c r="H141" s="1">
        <v>269</v>
      </c>
      <c r="I141" s="1" t="s">
        <v>34</v>
      </c>
      <c r="J141" s="1">
        <v>34</v>
      </c>
      <c r="K141" s="1" t="s">
        <v>41</v>
      </c>
      <c r="L141" s="1">
        <v>835</v>
      </c>
      <c r="M141" s="1">
        <v>835</v>
      </c>
      <c r="O141" s="1" t="s">
        <v>42</v>
      </c>
      <c r="P141" s="1" t="s">
        <v>27</v>
      </c>
      <c r="Q141" s="1" t="s">
        <v>28</v>
      </c>
      <c r="R141" s="1">
        <v>65</v>
      </c>
      <c r="S141" s="1" t="s">
        <v>37</v>
      </c>
      <c r="T141" s="1">
        <v>4181</v>
      </c>
    </row>
    <row r="142" spans="1:20" ht="15.75" customHeight="1" x14ac:dyDescent="0.25">
      <c r="A142" s="1" t="s">
        <v>70</v>
      </c>
      <c r="B142" s="2">
        <v>45725</v>
      </c>
      <c r="C142" s="1" t="s">
        <v>54</v>
      </c>
      <c r="D142" s="1" t="s">
        <v>22</v>
      </c>
      <c r="E142" s="1" t="s">
        <v>50</v>
      </c>
      <c r="F142" s="1">
        <v>9751</v>
      </c>
      <c r="G142" s="1">
        <v>3624</v>
      </c>
      <c r="H142" s="1">
        <v>86</v>
      </c>
      <c r="I142" s="1" t="s">
        <v>40</v>
      </c>
      <c r="J142" s="1">
        <v>3</v>
      </c>
      <c r="K142" s="1" t="s">
        <v>41</v>
      </c>
      <c r="L142" s="1">
        <v>713</v>
      </c>
      <c r="M142" s="1">
        <v>237.67</v>
      </c>
      <c r="N142" s="1">
        <v>37</v>
      </c>
      <c r="O142" s="1" t="s">
        <v>42</v>
      </c>
      <c r="P142" s="1" t="s">
        <v>35</v>
      </c>
      <c r="Q142" s="1" t="s">
        <v>43</v>
      </c>
      <c r="R142" s="1">
        <v>10</v>
      </c>
      <c r="S142" s="1" t="s">
        <v>47</v>
      </c>
      <c r="T142" s="1">
        <v>1243</v>
      </c>
    </row>
    <row r="143" spans="1:20" ht="15.75" customHeight="1" x14ac:dyDescent="0.25">
      <c r="A143" s="1" t="s">
        <v>149</v>
      </c>
      <c r="B143" s="2">
        <v>45554</v>
      </c>
      <c r="C143" s="1" t="s">
        <v>39</v>
      </c>
      <c r="D143" s="1" t="s">
        <v>32</v>
      </c>
      <c r="E143" s="1" t="s">
        <v>50</v>
      </c>
      <c r="F143" s="1">
        <v>11053</v>
      </c>
      <c r="G143" s="1">
        <v>633</v>
      </c>
      <c r="H143" s="1">
        <v>184</v>
      </c>
      <c r="I143" s="1" t="s">
        <v>40</v>
      </c>
      <c r="J143" s="1">
        <v>17</v>
      </c>
      <c r="K143" s="1" t="s">
        <v>25</v>
      </c>
      <c r="L143" s="1">
        <v>0</v>
      </c>
      <c r="M143" s="1">
        <v>0</v>
      </c>
      <c r="O143" s="1" t="s">
        <v>42</v>
      </c>
      <c r="P143" s="1" t="s">
        <v>51</v>
      </c>
      <c r="Q143" s="1" t="s">
        <v>28</v>
      </c>
      <c r="R143" s="1">
        <v>66</v>
      </c>
      <c r="S143" s="1" t="s">
        <v>47</v>
      </c>
      <c r="T143" s="1">
        <v>4887</v>
      </c>
    </row>
    <row r="144" spans="1:20" ht="15.75" customHeight="1" x14ac:dyDescent="0.25">
      <c r="A144" s="1" t="s">
        <v>132</v>
      </c>
      <c r="B144" s="2">
        <v>45504</v>
      </c>
      <c r="C144" s="1" t="s">
        <v>39</v>
      </c>
      <c r="D144" s="1" t="s">
        <v>45</v>
      </c>
      <c r="E144" s="1" t="s">
        <v>33</v>
      </c>
      <c r="F144" s="1">
        <v>9070</v>
      </c>
      <c r="G144" s="1">
        <v>2195</v>
      </c>
      <c r="H144" s="1">
        <v>123</v>
      </c>
      <c r="I144" s="1" t="s">
        <v>58</v>
      </c>
      <c r="J144" s="1">
        <v>31</v>
      </c>
      <c r="K144" s="1" t="s">
        <v>25</v>
      </c>
      <c r="L144" s="1">
        <v>0</v>
      </c>
      <c r="M144" s="1">
        <v>0</v>
      </c>
      <c r="O144" s="1" t="s">
        <v>26</v>
      </c>
      <c r="P144" s="1" t="s">
        <v>35</v>
      </c>
      <c r="Q144" s="1" t="s">
        <v>36</v>
      </c>
      <c r="R144" s="1">
        <v>87</v>
      </c>
      <c r="S144" s="1" t="s">
        <v>29</v>
      </c>
      <c r="T144" s="1">
        <v>1884</v>
      </c>
    </row>
    <row r="145" spans="1:20" ht="15.75" customHeight="1" x14ac:dyDescent="0.25">
      <c r="A145" s="1" t="s">
        <v>150</v>
      </c>
      <c r="B145" s="2">
        <v>45716</v>
      </c>
      <c r="C145" s="1" t="s">
        <v>54</v>
      </c>
      <c r="D145" s="1" t="s">
        <v>22</v>
      </c>
      <c r="E145" s="1" t="s">
        <v>33</v>
      </c>
      <c r="F145" s="1">
        <v>17843</v>
      </c>
      <c r="G145" s="1">
        <v>3943</v>
      </c>
      <c r="H145" s="1">
        <v>252</v>
      </c>
      <c r="I145" s="1" t="s">
        <v>55</v>
      </c>
      <c r="J145" s="1">
        <v>11</v>
      </c>
      <c r="K145" s="1" t="s">
        <v>41</v>
      </c>
      <c r="L145" s="1">
        <v>291</v>
      </c>
      <c r="M145" s="1">
        <v>145.5</v>
      </c>
      <c r="N145" s="1">
        <v>27</v>
      </c>
      <c r="O145" s="1" t="s">
        <v>26</v>
      </c>
      <c r="P145" s="1" t="s">
        <v>59</v>
      </c>
      <c r="Q145" s="1" t="s">
        <v>36</v>
      </c>
      <c r="R145" s="1">
        <v>57</v>
      </c>
      <c r="S145" s="1" t="s">
        <v>47</v>
      </c>
      <c r="T145" s="1">
        <v>3236</v>
      </c>
    </row>
    <row r="146" spans="1:20" ht="15.75" customHeight="1" x14ac:dyDescent="0.25">
      <c r="A146" s="1" t="s">
        <v>139</v>
      </c>
      <c r="B146" s="2">
        <v>45593</v>
      </c>
      <c r="C146" s="1" t="s">
        <v>57</v>
      </c>
      <c r="D146" s="1" t="s">
        <v>45</v>
      </c>
      <c r="E146" s="1" t="s">
        <v>23</v>
      </c>
      <c r="F146" s="1">
        <v>17364</v>
      </c>
      <c r="G146" s="1">
        <v>2904</v>
      </c>
      <c r="H146" s="1">
        <v>248</v>
      </c>
      <c r="I146" s="1" t="s">
        <v>24</v>
      </c>
      <c r="J146" s="1">
        <v>21</v>
      </c>
      <c r="K146" s="1" t="s">
        <v>25</v>
      </c>
      <c r="L146" s="1">
        <v>0</v>
      </c>
      <c r="M146" s="1">
        <v>0</v>
      </c>
      <c r="N146" s="1">
        <v>31</v>
      </c>
      <c r="O146" s="1" t="s">
        <v>26</v>
      </c>
      <c r="P146" s="1" t="s">
        <v>51</v>
      </c>
      <c r="Q146" s="1" t="s">
        <v>36</v>
      </c>
      <c r="R146" s="1">
        <v>96</v>
      </c>
      <c r="S146" s="1" t="s">
        <v>29</v>
      </c>
      <c r="T146" s="1">
        <v>2983</v>
      </c>
    </row>
    <row r="147" spans="1:20" ht="15.75" customHeight="1" x14ac:dyDescent="0.25">
      <c r="A147" s="1" t="s">
        <v>87</v>
      </c>
      <c r="B147" s="2">
        <v>45483</v>
      </c>
      <c r="C147" s="1" t="s">
        <v>31</v>
      </c>
      <c r="D147" s="1" t="s">
        <v>22</v>
      </c>
      <c r="E147" s="1" t="s">
        <v>23</v>
      </c>
      <c r="F147" s="1">
        <v>5554</v>
      </c>
      <c r="G147" s="1">
        <v>1724</v>
      </c>
      <c r="H147" s="1">
        <v>41</v>
      </c>
      <c r="I147" s="1" t="s">
        <v>55</v>
      </c>
      <c r="J147" s="1">
        <v>11</v>
      </c>
      <c r="K147" s="1" t="s">
        <v>41</v>
      </c>
      <c r="L147" s="1">
        <v>266</v>
      </c>
      <c r="M147" s="1">
        <v>88.67</v>
      </c>
      <c r="N147" s="1">
        <v>53</v>
      </c>
      <c r="O147" s="1" t="s">
        <v>26</v>
      </c>
      <c r="P147" s="1" t="s">
        <v>35</v>
      </c>
      <c r="Q147" s="1" t="s">
        <v>28</v>
      </c>
      <c r="R147" s="1">
        <v>70</v>
      </c>
      <c r="S147" s="1" t="s">
        <v>37</v>
      </c>
      <c r="T147" s="1">
        <v>475</v>
      </c>
    </row>
    <row r="148" spans="1:20" ht="15.75" customHeight="1" x14ac:dyDescent="0.25">
      <c r="A148" s="1" t="s">
        <v>116</v>
      </c>
      <c r="B148" s="2">
        <v>45694</v>
      </c>
      <c r="C148" s="1" t="s">
        <v>57</v>
      </c>
      <c r="D148" s="1" t="s">
        <v>45</v>
      </c>
      <c r="E148" s="1" t="s">
        <v>33</v>
      </c>
      <c r="F148" s="1">
        <v>9574</v>
      </c>
      <c r="G148" s="1">
        <v>3517</v>
      </c>
      <c r="H148" s="1">
        <v>85</v>
      </c>
      <c r="I148" s="1" t="s">
        <v>55</v>
      </c>
      <c r="J148" s="1">
        <v>39</v>
      </c>
      <c r="K148" s="1" t="s">
        <v>41</v>
      </c>
      <c r="L148" s="1">
        <v>335</v>
      </c>
      <c r="M148" s="1">
        <v>111.67</v>
      </c>
      <c r="N148" s="1">
        <v>63</v>
      </c>
      <c r="O148" s="1" t="s">
        <v>42</v>
      </c>
      <c r="P148" s="1" t="s">
        <v>51</v>
      </c>
      <c r="Q148" s="1" t="s">
        <v>52</v>
      </c>
      <c r="R148" s="1">
        <v>23</v>
      </c>
      <c r="S148" s="1" t="s">
        <v>47</v>
      </c>
      <c r="T148" s="1">
        <v>2439</v>
      </c>
    </row>
    <row r="149" spans="1:20" ht="15.75" customHeight="1" x14ac:dyDescent="0.25">
      <c r="A149" s="1" t="s">
        <v>98</v>
      </c>
      <c r="B149" s="2">
        <v>45705</v>
      </c>
      <c r="C149" s="1" t="s">
        <v>57</v>
      </c>
      <c r="D149" s="1" t="s">
        <v>32</v>
      </c>
      <c r="E149" s="1" t="s">
        <v>24</v>
      </c>
      <c r="F149" s="1">
        <v>10214</v>
      </c>
      <c r="G149" s="1">
        <v>4362</v>
      </c>
      <c r="H149" s="1">
        <v>76</v>
      </c>
      <c r="I149" s="1" t="s">
        <v>40</v>
      </c>
      <c r="J149" s="1">
        <v>6</v>
      </c>
      <c r="K149" s="1" t="s">
        <v>25</v>
      </c>
      <c r="L149" s="1">
        <v>0</v>
      </c>
      <c r="M149" s="1">
        <v>0</v>
      </c>
      <c r="N149" s="1">
        <v>30</v>
      </c>
      <c r="O149" s="1" t="s">
        <v>42</v>
      </c>
      <c r="P149" s="1" t="s">
        <v>27</v>
      </c>
      <c r="Q149" s="1" t="s">
        <v>36</v>
      </c>
      <c r="R149" s="1">
        <v>35</v>
      </c>
      <c r="S149" s="1" t="s">
        <v>47</v>
      </c>
      <c r="T149" s="1">
        <v>5658</v>
      </c>
    </row>
    <row r="150" spans="1:20" ht="15.75" customHeight="1" x14ac:dyDescent="0.25">
      <c r="A150" s="1" t="s">
        <v>110</v>
      </c>
      <c r="B150" s="2">
        <v>45442</v>
      </c>
      <c r="C150" s="1" t="s">
        <v>39</v>
      </c>
      <c r="D150" s="1" t="s">
        <v>32</v>
      </c>
      <c r="E150" s="1" t="s">
        <v>23</v>
      </c>
      <c r="F150" s="1">
        <v>6600</v>
      </c>
      <c r="G150" s="1">
        <v>3948</v>
      </c>
      <c r="H150" s="1">
        <v>214</v>
      </c>
      <c r="I150" s="1" t="s">
        <v>63</v>
      </c>
      <c r="J150" s="1">
        <v>29</v>
      </c>
      <c r="K150" s="1" t="s">
        <v>25</v>
      </c>
      <c r="L150" s="1">
        <v>0</v>
      </c>
      <c r="M150" s="1">
        <v>0</v>
      </c>
      <c r="O150" s="1" t="s">
        <v>26</v>
      </c>
      <c r="P150" s="1" t="s">
        <v>51</v>
      </c>
      <c r="Q150" s="1" t="s">
        <v>43</v>
      </c>
      <c r="R150" s="1">
        <v>44</v>
      </c>
      <c r="S150" s="1" t="s">
        <v>29</v>
      </c>
      <c r="T150" s="1">
        <v>4874</v>
      </c>
    </row>
    <row r="151" spans="1:20" ht="15.75" customHeight="1" x14ac:dyDescent="0.25">
      <c r="A151" s="1" t="s">
        <v>48</v>
      </c>
      <c r="B151" s="2">
        <v>45544</v>
      </c>
      <c r="C151" s="1" t="s">
        <v>31</v>
      </c>
      <c r="D151" s="1" t="s">
        <v>22</v>
      </c>
      <c r="E151" s="1" t="s">
        <v>33</v>
      </c>
      <c r="F151" s="1">
        <v>2217</v>
      </c>
      <c r="G151" s="1">
        <v>1379</v>
      </c>
      <c r="H151" s="1">
        <v>188</v>
      </c>
      <c r="I151" s="1" t="s">
        <v>63</v>
      </c>
      <c r="J151" s="1">
        <v>19</v>
      </c>
      <c r="K151" s="1" t="s">
        <v>25</v>
      </c>
      <c r="L151" s="1">
        <v>0</v>
      </c>
      <c r="M151" s="1">
        <v>0</v>
      </c>
      <c r="O151" s="1" t="s">
        <v>42</v>
      </c>
      <c r="P151" s="1" t="s">
        <v>51</v>
      </c>
      <c r="Q151" s="1" t="s">
        <v>28</v>
      </c>
      <c r="R151" s="1">
        <v>91</v>
      </c>
      <c r="S151" s="1" t="s">
        <v>29</v>
      </c>
      <c r="T151" s="1">
        <v>2585</v>
      </c>
    </row>
    <row r="152" spans="1:20" ht="15.75" customHeight="1" x14ac:dyDescent="0.25">
      <c r="A152" s="1" t="s">
        <v>134</v>
      </c>
      <c r="B152" s="2">
        <v>45394</v>
      </c>
      <c r="C152" s="1" t="s">
        <v>54</v>
      </c>
      <c r="D152" s="1" t="s">
        <v>49</v>
      </c>
      <c r="E152" s="1" t="s">
        <v>50</v>
      </c>
      <c r="F152" s="1">
        <v>4194</v>
      </c>
      <c r="G152" s="1">
        <v>4708</v>
      </c>
      <c r="H152" s="1">
        <v>194</v>
      </c>
      <c r="I152" s="1" t="s">
        <v>63</v>
      </c>
      <c r="J152" s="1">
        <v>37</v>
      </c>
      <c r="K152" s="1" t="s">
        <v>41</v>
      </c>
      <c r="L152" s="1">
        <v>280</v>
      </c>
      <c r="M152" s="1">
        <v>280</v>
      </c>
      <c r="N152" s="1">
        <v>35</v>
      </c>
      <c r="O152" s="1" t="s">
        <v>26</v>
      </c>
      <c r="P152" s="1" t="s">
        <v>51</v>
      </c>
      <c r="Q152" s="1" t="s">
        <v>36</v>
      </c>
      <c r="R152" s="1">
        <v>91</v>
      </c>
      <c r="S152" s="1" t="s">
        <v>29</v>
      </c>
      <c r="T152" s="1">
        <v>4040</v>
      </c>
    </row>
    <row r="153" spans="1:20" ht="15.75" customHeight="1" x14ac:dyDescent="0.25">
      <c r="A153" s="1" t="s">
        <v>151</v>
      </c>
      <c r="B153" s="2">
        <v>45408</v>
      </c>
      <c r="C153" s="1" t="s">
        <v>21</v>
      </c>
      <c r="D153" s="1" t="s">
        <v>45</v>
      </c>
      <c r="E153" s="1" t="s">
        <v>50</v>
      </c>
      <c r="F153" s="1">
        <v>8844</v>
      </c>
      <c r="G153" s="1">
        <v>2611</v>
      </c>
      <c r="H153" s="1">
        <v>65</v>
      </c>
      <c r="I153" s="1" t="s">
        <v>58</v>
      </c>
      <c r="J153" s="1">
        <v>8</v>
      </c>
      <c r="K153" s="1" t="s">
        <v>41</v>
      </c>
      <c r="L153" s="1">
        <v>687</v>
      </c>
      <c r="M153" s="1">
        <v>687</v>
      </c>
      <c r="O153" s="1" t="s">
        <v>26</v>
      </c>
      <c r="P153" s="1" t="s">
        <v>35</v>
      </c>
      <c r="Q153" s="1" t="s">
        <v>43</v>
      </c>
      <c r="R153" s="1">
        <v>94</v>
      </c>
      <c r="S153" s="1" t="s">
        <v>29</v>
      </c>
      <c r="T153" s="1">
        <v>3050</v>
      </c>
    </row>
    <row r="154" spans="1:20" ht="15.75" customHeight="1" x14ac:dyDescent="0.25">
      <c r="A154" s="1" t="s">
        <v>117</v>
      </c>
      <c r="B154" s="2">
        <v>45589</v>
      </c>
      <c r="C154" s="1" t="s">
        <v>54</v>
      </c>
      <c r="D154" s="1" t="s">
        <v>49</v>
      </c>
      <c r="E154" s="1" t="s">
        <v>50</v>
      </c>
      <c r="F154" s="1">
        <v>16475</v>
      </c>
      <c r="G154" s="1">
        <v>850</v>
      </c>
      <c r="H154" s="1">
        <v>161</v>
      </c>
      <c r="I154" s="1" t="s">
        <v>63</v>
      </c>
      <c r="J154" s="1">
        <v>32</v>
      </c>
      <c r="K154" s="1" t="s">
        <v>41</v>
      </c>
      <c r="L154" s="1">
        <v>394</v>
      </c>
      <c r="M154" s="1">
        <v>197</v>
      </c>
      <c r="N154" s="1">
        <v>44</v>
      </c>
      <c r="O154" s="1" t="s">
        <v>42</v>
      </c>
      <c r="P154" s="1" t="s">
        <v>59</v>
      </c>
      <c r="Q154" s="1" t="s">
        <v>43</v>
      </c>
      <c r="R154" s="1">
        <v>10</v>
      </c>
      <c r="S154" s="1" t="s">
        <v>29</v>
      </c>
      <c r="T154" s="1">
        <v>3598</v>
      </c>
    </row>
    <row r="155" spans="1:20" ht="15.75" customHeight="1" x14ac:dyDescent="0.25">
      <c r="A155" s="1" t="s">
        <v>152</v>
      </c>
      <c r="B155" s="2">
        <v>45645</v>
      </c>
      <c r="C155" s="1" t="s">
        <v>39</v>
      </c>
      <c r="D155" s="1" t="s">
        <v>32</v>
      </c>
      <c r="E155" s="1" t="s">
        <v>24</v>
      </c>
      <c r="F155" s="1">
        <v>9368</v>
      </c>
      <c r="G155" s="1">
        <v>2807</v>
      </c>
      <c r="H155" s="1">
        <v>273</v>
      </c>
      <c r="I155" s="1" t="s">
        <v>24</v>
      </c>
      <c r="J155" s="1">
        <v>23</v>
      </c>
      <c r="K155" s="1" t="s">
        <v>25</v>
      </c>
      <c r="L155" s="1">
        <v>0</v>
      </c>
      <c r="M155" s="1">
        <v>0</v>
      </c>
      <c r="N155" s="1">
        <v>56</v>
      </c>
      <c r="O155" s="1" t="s">
        <v>26</v>
      </c>
      <c r="P155" s="1" t="s">
        <v>35</v>
      </c>
      <c r="Q155" s="1" t="s">
        <v>52</v>
      </c>
      <c r="R155" s="1">
        <v>11</v>
      </c>
      <c r="S155" s="1" t="s">
        <v>29</v>
      </c>
      <c r="T155" s="1">
        <v>3741</v>
      </c>
    </row>
    <row r="156" spans="1:20" ht="15.75" customHeight="1" x14ac:dyDescent="0.25">
      <c r="A156" s="1" t="s">
        <v>147</v>
      </c>
      <c r="B156" s="2">
        <v>45338</v>
      </c>
      <c r="C156" s="1" t="s">
        <v>57</v>
      </c>
      <c r="D156" s="1" t="s">
        <v>32</v>
      </c>
      <c r="E156" s="1" t="s">
        <v>50</v>
      </c>
      <c r="F156" s="1">
        <v>15068</v>
      </c>
      <c r="G156" s="1">
        <v>1662</v>
      </c>
      <c r="H156" s="1">
        <v>118</v>
      </c>
      <c r="I156" s="1" t="s">
        <v>63</v>
      </c>
      <c r="J156" s="1">
        <v>28</v>
      </c>
      <c r="K156" s="1" t="s">
        <v>41</v>
      </c>
      <c r="L156" s="1">
        <v>450</v>
      </c>
      <c r="M156" s="1">
        <v>150</v>
      </c>
      <c r="N156" s="1">
        <v>55</v>
      </c>
      <c r="O156" s="1" t="s">
        <v>42</v>
      </c>
      <c r="P156" s="1" t="s">
        <v>35</v>
      </c>
      <c r="Q156" s="1" t="s">
        <v>36</v>
      </c>
      <c r="R156" s="1">
        <v>22</v>
      </c>
      <c r="S156" s="1" t="s">
        <v>37</v>
      </c>
      <c r="T156" s="1">
        <v>605</v>
      </c>
    </row>
    <row r="157" spans="1:20" ht="15.75" customHeight="1" x14ac:dyDescent="0.25">
      <c r="A157" s="1" t="s">
        <v>125</v>
      </c>
      <c r="B157" s="2">
        <v>45310</v>
      </c>
      <c r="C157" s="1" t="s">
        <v>57</v>
      </c>
      <c r="D157" s="1" t="s">
        <v>45</v>
      </c>
      <c r="E157" s="1" t="s">
        <v>23</v>
      </c>
      <c r="F157" s="1">
        <v>5147</v>
      </c>
      <c r="G157" s="1">
        <v>1649</v>
      </c>
      <c r="H157" s="1">
        <v>113</v>
      </c>
      <c r="I157" s="1" t="s">
        <v>40</v>
      </c>
      <c r="J157" s="1">
        <v>35</v>
      </c>
      <c r="K157" s="1" t="s">
        <v>25</v>
      </c>
      <c r="L157" s="1">
        <v>0</v>
      </c>
      <c r="M157" s="1">
        <v>0</v>
      </c>
      <c r="O157" s="1" t="s">
        <v>42</v>
      </c>
      <c r="P157" s="1" t="s">
        <v>27</v>
      </c>
      <c r="Q157" s="1" t="s">
        <v>36</v>
      </c>
      <c r="R157" s="1">
        <v>60</v>
      </c>
      <c r="S157" s="1" t="s">
        <v>37</v>
      </c>
      <c r="T157" s="1">
        <v>1844</v>
      </c>
    </row>
    <row r="158" spans="1:20" ht="15.75" customHeight="1" x14ac:dyDescent="0.25">
      <c r="A158" s="1" t="s">
        <v>110</v>
      </c>
      <c r="B158" s="2">
        <v>45773</v>
      </c>
      <c r="C158" s="1" t="s">
        <v>21</v>
      </c>
      <c r="D158" s="1" t="s">
        <v>45</v>
      </c>
      <c r="E158" s="1" t="s">
        <v>50</v>
      </c>
      <c r="F158" s="1">
        <v>12886</v>
      </c>
      <c r="G158" s="1">
        <v>1364</v>
      </c>
      <c r="H158" s="1">
        <v>31</v>
      </c>
      <c r="I158" s="1" t="s">
        <v>55</v>
      </c>
      <c r="J158" s="1">
        <v>32</v>
      </c>
      <c r="K158" s="1" t="s">
        <v>25</v>
      </c>
      <c r="L158" s="1">
        <v>0</v>
      </c>
      <c r="M158" s="1">
        <v>0</v>
      </c>
      <c r="N158" s="1">
        <v>54</v>
      </c>
      <c r="O158" s="1" t="s">
        <v>42</v>
      </c>
      <c r="P158" s="1" t="s">
        <v>46</v>
      </c>
      <c r="Q158" s="1" t="s">
        <v>43</v>
      </c>
      <c r="R158" s="1">
        <v>82</v>
      </c>
      <c r="S158" s="1" t="s">
        <v>37</v>
      </c>
      <c r="T158" s="1">
        <v>4933</v>
      </c>
    </row>
    <row r="159" spans="1:20" ht="15.75" customHeight="1" x14ac:dyDescent="0.25">
      <c r="A159" s="1" t="s">
        <v>102</v>
      </c>
      <c r="B159" s="2">
        <v>45382</v>
      </c>
      <c r="C159" s="1" t="s">
        <v>54</v>
      </c>
      <c r="D159" s="1" t="s">
        <v>45</v>
      </c>
      <c r="E159" s="1" t="s">
        <v>24</v>
      </c>
      <c r="F159" s="1">
        <v>15816</v>
      </c>
      <c r="G159" s="1">
        <v>3467</v>
      </c>
      <c r="H159" s="1">
        <v>137</v>
      </c>
      <c r="I159" s="1" t="s">
        <v>58</v>
      </c>
      <c r="J159" s="1">
        <v>10</v>
      </c>
      <c r="K159" s="1" t="s">
        <v>25</v>
      </c>
      <c r="L159" s="1">
        <v>0</v>
      </c>
      <c r="M159" s="1">
        <v>0</v>
      </c>
      <c r="N159" s="1">
        <v>45</v>
      </c>
      <c r="O159" s="1" t="s">
        <v>26</v>
      </c>
      <c r="P159" s="1" t="s">
        <v>59</v>
      </c>
      <c r="Q159" s="1" t="s">
        <v>28</v>
      </c>
      <c r="R159" s="1">
        <v>45</v>
      </c>
      <c r="S159" s="1" t="s">
        <v>37</v>
      </c>
      <c r="T159" s="1">
        <v>1979</v>
      </c>
    </row>
    <row r="160" spans="1:20" ht="15.75" customHeight="1" x14ac:dyDescent="0.25">
      <c r="A160" s="1" t="s">
        <v>62</v>
      </c>
      <c r="B160" s="2">
        <v>45832</v>
      </c>
      <c r="C160" s="1" t="s">
        <v>39</v>
      </c>
      <c r="D160" s="1" t="s">
        <v>22</v>
      </c>
      <c r="E160" s="1" t="s">
        <v>24</v>
      </c>
      <c r="F160" s="1">
        <v>5307</v>
      </c>
      <c r="G160" s="1">
        <v>1194</v>
      </c>
      <c r="H160" s="1">
        <v>11</v>
      </c>
      <c r="I160" s="1" t="s">
        <v>34</v>
      </c>
      <c r="J160" s="1">
        <v>5</v>
      </c>
      <c r="K160" s="1" t="s">
        <v>25</v>
      </c>
      <c r="L160" s="1">
        <v>0</v>
      </c>
      <c r="M160" s="1">
        <v>0</v>
      </c>
      <c r="O160" s="1" t="s">
        <v>42</v>
      </c>
      <c r="P160" s="1" t="s">
        <v>27</v>
      </c>
      <c r="Q160" s="1" t="s">
        <v>28</v>
      </c>
      <c r="R160" s="1">
        <v>18</v>
      </c>
      <c r="S160" s="1" t="s">
        <v>37</v>
      </c>
      <c r="T160" s="1">
        <v>3484</v>
      </c>
    </row>
    <row r="161" spans="1:20" ht="15.75" customHeight="1" x14ac:dyDescent="0.25">
      <c r="A161" s="1" t="s">
        <v>153</v>
      </c>
      <c r="B161" s="2">
        <v>45508</v>
      </c>
      <c r="C161" s="1" t="s">
        <v>21</v>
      </c>
      <c r="D161" s="1" t="s">
        <v>32</v>
      </c>
      <c r="E161" s="1" t="s">
        <v>33</v>
      </c>
      <c r="F161" s="1">
        <v>9794</v>
      </c>
      <c r="G161" s="1">
        <v>1049</v>
      </c>
      <c r="H161" s="1">
        <v>135</v>
      </c>
      <c r="I161" s="1" t="s">
        <v>24</v>
      </c>
      <c r="J161" s="1">
        <v>17</v>
      </c>
      <c r="K161" s="1" t="s">
        <v>25</v>
      </c>
      <c r="L161" s="1">
        <v>0</v>
      </c>
      <c r="M161" s="1">
        <v>0</v>
      </c>
      <c r="O161" s="1" t="s">
        <v>42</v>
      </c>
      <c r="P161" s="1" t="s">
        <v>59</v>
      </c>
      <c r="Q161" s="1" t="s">
        <v>43</v>
      </c>
      <c r="R161" s="1">
        <v>69</v>
      </c>
      <c r="S161" s="1" t="s">
        <v>37</v>
      </c>
      <c r="T161" s="1">
        <v>1847</v>
      </c>
    </row>
    <row r="162" spans="1:20" ht="15.75" customHeight="1" x14ac:dyDescent="0.25">
      <c r="A162" s="1" t="s">
        <v>113</v>
      </c>
      <c r="B162" s="2">
        <v>45643</v>
      </c>
      <c r="C162" s="1" t="s">
        <v>21</v>
      </c>
      <c r="D162" s="1" t="s">
        <v>32</v>
      </c>
      <c r="E162" s="1" t="s">
        <v>24</v>
      </c>
      <c r="F162" s="1">
        <v>19065</v>
      </c>
      <c r="G162" s="1">
        <v>2467</v>
      </c>
      <c r="H162" s="1">
        <v>132</v>
      </c>
      <c r="I162" s="1" t="s">
        <v>58</v>
      </c>
      <c r="J162" s="1">
        <v>28</v>
      </c>
      <c r="K162" s="1" t="s">
        <v>41</v>
      </c>
      <c r="L162" s="1">
        <v>867</v>
      </c>
      <c r="M162" s="1">
        <v>289</v>
      </c>
      <c r="O162" s="1" t="s">
        <v>42</v>
      </c>
      <c r="P162" s="1" t="s">
        <v>35</v>
      </c>
      <c r="Q162" s="1" t="s">
        <v>36</v>
      </c>
      <c r="R162" s="1">
        <v>84</v>
      </c>
      <c r="S162" s="1" t="s">
        <v>37</v>
      </c>
      <c r="T162" s="1">
        <v>733</v>
      </c>
    </row>
    <row r="163" spans="1:20" ht="15.75" customHeight="1" x14ac:dyDescent="0.25">
      <c r="A163" s="1" t="s">
        <v>94</v>
      </c>
      <c r="B163" s="2">
        <v>45506</v>
      </c>
      <c r="C163" s="1" t="s">
        <v>21</v>
      </c>
      <c r="D163" s="1" t="s">
        <v>45</v>
      </c>
      <c r="E163" s="1" t="s">
        <v>24</v>
      </c>
      <c r="F163" s="1">
        <v>3044</v>
      </c>
      <c r="G163" s="1">
        <v>3126</v>
      </c>
      <c r="H163" s="1">
        <v>166</v>
      </c>
      <c r="I163" s="1" t="s">
        <v>63</v>
      </c>
      <c r="J163" s="1">
        <v>39</v>
      </c>
      <c r="K163" s="1" t="s">
        <v>41</v>
      </c>
      <c r="L163" s="1">
        <v>237</v>
      </c>
      <c r="M163" s="1">
        <v>79</v>
      </c>
      <c r="N163" s="1">
        <v>28</v>
      </c>
      <c r="O163" s="1" t="s">
        <v>42</v>
      </c>
      <c r="P163" s="1" t="s">
        <v>46</v>
      </c>
      <c r="Q163" s="1" t="s">
        <v>28</v>
      </c>
      <c r="R163" s="1">
        <v>66</v>
      </c>
      <c r="S163" s="1" t="s">
        <v>47</v>
      </c>
      <c r="T163" s="1">
        <v>5480</v>
      </c>
    </row>
    <row r="164" spans="1:20" ht="15.75" customHeight="1" x14ac:dyDescent="0.25">
      <c r="A164" s="1" t="s">
        <v>154</v>
      </c>
      <c r="B164" s="2">
        <v>45310</v>
      </c>
      <c r="C164" s="1" t="s">
        <v>21</v>
      </c>
      <c r="D164" s="1" t="s">
        <v>45</v>
      </c>
      <c r="E164" s="1" t="s">
        <v>33</v>
      </c>
      <c r="F164" s="1">
        <v>2431</v>
      </c>
      <c r="G164" s="1">
        <v>1764</v>
      </c>
      <c r="H164" s="1">
        <v>4</v>
      </c>
      <c r="I164" s="1" t="s">
        <v>24</v>
      </c>
      <c r="J164" s="1">
        <v>20</v>
      </c>
      <c r="K164" s="1" t="s">
        <v>25</v>
      </c>
      <c r="L164" s="1">
        <v>0</v>
      </c>
      <c r="M164" s="1">
        <v>0</v>
      </c>
      <c r="N164" s="1">
        <v>48</v>
      </c>
      <c r="O164" s="1" t="s">
        <v>26</v>
      </c>
      <c r="P164" s="1" t="s">
        <v>27</v>
      </c>
      <c r="Q164" s="1" t="s">
        <v>43</v>
      </c>
      <c r="R164" s="1">
        <v>6</v>
      </c>
      <c r="S164" s="1" t="s">
        <v>37</v>
      </c>
      <c r="T164" s="1">
        <v>4188</v>
      </c>
    </row>
    <row r="165" spans="1:20" ht="15.75" customHeight="1" x14ac:dyDescent="0.25">
      <c r="A165" s="1" t="s">
        <v>116</v>
      </c>
      <c r="B165" s="2">
        <v>45370</v>
      </c>
      <c r="C165" s="1" t="s">
        <v>31</v>
      </c>
      <c r="D165" s="1" t="s">
        <v>45</v>
      </c>
      <c r="E165" s="1" t="s">
        <v>24</v>
      </c>
      <c r="F165" s="1">
        <v>17824</v>
      </c>
      <c r="G165" s="1">
        <v>3156</v>
      </c>
      <c r="H165" s="1">
        <v>276</v>
      </c>
      <c r="I165" s="1" t="s">
        <v>58</v>
      </c>
      <c r="J165" s="1">
        <v>18</v>
      </c>
      <c r="K165" s="1" t="s">
        <v>25</v>
      </c>
      <c r="L165" s="1">
        <v>0</v>
      </c>
      <c r="M165" s="1">
        <v>0</v>
      </c>
      <c r="O165" s="1" t="s">
        <v>26</v>
      </c>
      <c r="P165" s="1" t="s">
        <v>59</v>
      </c>
      <c r="Q165" s="1" t="s">
        <v>28</v>
      </c>
      <c r="R165" s="1">
        <v>86</v>
      </c>
      <c r="S165" s="1" t="s">
        <v>37</v>
      </c>
      <c r="T165" s="1">
        <v>4902</v>
      </c>
    </row>
    <row r="166" spans="1:20" ht="15.75" customHeight="1" x14ac:dyDescent="0.25">
      <c r="A166" s="1" t="s">
        <v>131</v>
      </c>
      <c r="B166" s="2">
        <v>45616</v>
      </c>
      <c r="C166" s="1" t="s">
        <v>21</v>
      </c>
      <c r="D166" s="1" t="s">
        <v>32</v>
      </c>
      <c r="E166" s="1" t="s">
        <v>50</v>
      </c>
      <c r="F166" s="1">
        <v>10338</v>
      </c>
      <c r="G166" s="1">
        <v>2094</v>
      </c>
      <c r="H166" s="1">
        <v>78</v>
      </c>
      <c r="I166" s="1" t="s">
        <v>34</v>
      </c>
      <c r="J166" s="1">
        <v>25</v>
      </c>
      <c r="K166" s="1" t="s">
        <v>41</v>
      </c>
      <c r="L166" s="1">
        <v>821</v>
      </c>
      <c r="M166" s="1">
        <v>273.67</v>
      </c>
      <c r="N166" s="1">
        <v>33</v>
      </c>
      <c r="O166" s="1" t="s">
        <v>42</v>
      </c>
      <c r="P166" s="1" t="s">
        <v>35</v>
      </c>
      <c r="Q166" s="1" t="s">
        <v>36</v>
      </c>
      <c r="R166" s="1">
        <v>47</v>
      </c>
      <c r="S166" s="1" t="s">
        <v>37</v>
      </c>
      <c r="T166" s="1">
        <v>727</v>
      </c>
    </row>
    <row r="167" spans="1:20" ht="15.75" customHeight="1" x14ac:dyDescent="0.25">
      <c r="A167" s="1" t="s">
        <v>115</v>
      </c>
      <c r="B167" s="2">
        <v>45823</v>
      </c>
      <c r="C167" s="1" t="s">
        <v>57</v>
      </c>
      <c r="D167" s="1" t="s">
        <v>49</v>
      </c>
      <c r="E167" s="1" t="s">
        <v>50</v>
      </c>
      <c r="F167" s="1">
        <v>13790</v>
      </c>
      <c r="G167" s="1">
        <v>1673</v>
      </c>
      <c r="H167" s="1">
        <v>204</v>
      </c>
      <c r="I167" s="1" t="s">
        <v>24</v>
      </c>
      <c r="J167" s="1">
        <v>20</v>
      </c>
      <c r="K167" s="1" t="s">
        <v>41</v>
      </c>
      <c r="L167" s="1">
        <v>200</v>
      </c>
      <c r="M167" s="1">
        <v>66.67</v>
      </c>
      <c r="O167" s="1" t="s">
        <v>26</v>
      </c>
      <c r="P167" s="1" t="s">
        <v>51</v>
      </c>
      <c r="Q167" s="1" t="s">
        <v>36</v>
      </c>
      <c r="R167" s="1">
        <v>67</v>
      </c>
      <c r="S167" s="1" t="s">
        <v>37</v>
      </c>
      <c r="T167" s="1">
        <v>4259</v>
      </c>
    </row>
    <row r="168" spans="1:20" ht="15.75" customHeight="1" x14ac:dyDescent="0.25">
      <c r="A168" s="1" t="s">
        <v>155</v>
      </c>
      <c r="B168" s="2">
        <v>45315</v>
      </c>
      <c r="C168" s="1" t="s">
        <v>31</v>
      </c>
      <c r="D168" s="1" t="s">
        <v>22</v>
      </c>
      <c r="E168" s="1" t="s">
        <v>50</v>
      </c>
      <c r="F168" s="1">
        <v>2807</v>
      </c>
      <c r="G168" s="1">
        <v>4075</v>
      </c>
      <c r="H168" s="1">
        <v>200</v>
      </c>
      <c r="I168" s="1" t="s">
        <v>24</v>
      </c>
      <c r="J168" s="1">
        <v>34</v>
      </c>
      <c r="K168" s="1" t="s">
        <v>41</v>
      </c>
      <c r="L168" s="1">
        <v>503</v>
      </c>
      <c r="M168" s="1">
        <v>503</v>
      </c>
      <c r="N168" s="1">
        <v>52</v>
      </c>
      <c r="O168" s="1" t="s">
        <v>26</v>
      </c>
      <c r="P168" s="1" t="s">
        <v>27</v>
      </c>
      <c r="Q168" s="1" t="s">
        <v>43</v>
      </c>
      <c r="R168" s="1">
        <v>53</v>
      </c>
      <c r="S168" s="1" t="s">
        <v>47</v>
      </c>
      <c r="T168" s="1">
        <v>4903</v>
      </c>
    </row>
    <row r="169" spans="1:20" ht="15.75" customHeight="1" x14ac:dyDescent="0.25">
      <c r="A169" s="1" t="s">
        <v>147</v>
      </c>
      <c r="B169" s="2">
        <v>45761</v>
      </c>
      <c r="C169" s="1" t="s">
        <v>21</v>
      </c>
      <c r="D169" s="1" t="s">
        <v>32</v>
      </c>
      <c r="E169" s="1" t="s">
        <v>50</v>
      </c>
      <c r="F169" s="1">
        <v>6081</v>
      </c>
      <c r="G169" s="1">
        <v>569</v>
      </c>
      <c r="H169" s="1">
        <v>44</v>
      </c>
      <c r="I169" s="1" t="s">
        <v>58</v>
      </c>
      <c r="J169" s="1">
        <v>24</v>
      </c>
      <c r="K169" s="1" t="s">
        <v>25</v>
      </c>
      <c r="L169" s="1">
        <v>0</v>
      </c>
      <c r="M169" s="1">
        <v>0</v>
      </c>
      <c r="N169" s="1">
        <v>52</v>
      </c>
      <c r="O169" s="1" t="s">
        <v>26</v>
      </c>
      <c r="P169" s="1" t="s">
        <v>35</v>
      </c>
      <c r="Q169" s="1" t="s">
        <v>43</v>
      </c>
      <c r="R169" s="1">
        <v>51</v>
      </c>
      <c r="S169" s="1" t="s">
        <v>37</v>
      </c>
      <c r="T169" s="1">
        <v>5851</v>
      </c>
    </row>
    <row r="170" spans="1:20" ht="15.75" customHeight="1" x14ac:dyDescent="0.25">
      <c r="A170" s="1" t="s">
        <v>156</v>
      </c>
      <c r="B170" s="2">
        <v>45634</v>
      </c>
      <c r="C170" s="1" t="s">
        <v>21</v>
      </c>
      <c r="D170" s="1" t="s">
        <v>22</v>
      </c>
      <c r="E170" s="1" t="s">
        <v>23</v>
      </c>
      <c r="F170" s="1">
        <v>18497</v>
      </c>
      <c r="G170" s="1">
        <v>579</v>
      </c>
      <c r="H170" s="1">
        <v>34</v>
      </c>
      <c r="I170" s="1" t="s">
        <v>63</v>
      </c>
      <c r="J170" s="1">
        <v>9</v>
      </c>
      <c r="K170" s="1" t="s">
        <v>41</v>
      </c>
      <c r="L170" s="1">
        <v>785</v>
      </c>
      <c r="M170" s="1">
        <v>785</v>
      </c>
      <c r="N170" s="1">
        <v>20</v>
      </c>
      <c r="O170" s="1" t="s">
        <v>26</v>
      </c>
      <c r="P170" s="1" t="s">
        <v>27</v>
      </c>
      <c r="Q170" s="1" t="s">
        <v>43</v>
      </c>
      <c r="R170" s="1">
        <v>70</v>
      </c>
      <c r="S170" s="1" t="s">
        <v>37</v>
      </c>
      <c r="T170" s="1">
        <v>4317</v>
      </c>
    </row>
    <row r="171" spans="1:20" ht="15.75" customHeight="1" x14ac:dyDescent="0.25">
      <c r="A171" s="1" t="s">
        <v>152</v>
      </c>
      <c r="B171" s="2">
        <v>45598</v>
      </c>
      <c r="C171" s="1" t="s">
        <v>57</v>
      </c>
      <c r="D171" s="1" t="s">
        <v>49</v>
      </c>
      <c r="E171" s="1" t="s">
        <v>50</v>
      </c>
      <c r="F171" s="1">
        <v>18597</v>
      </c>
      <c r="G171" s="1">
        <v>2044</v>
      </c>
      <c r="H171" s="1">
        <v>125</v>
      </c>
      <c r="I171" s="1" t="s">
        <v>63</v>
      </c>
      <c r="J171" s="1">
        <v>9</v>
      </c>
      <c r="K171" s="1" t="s">
        <v>25</v>
      </c>
      <c r="L171" s="1">
        <v>0</v>
      </c>
      <c r="M171" s="1">
        <v>0</v>
      </c>
      <c r="N171" s="1">
        <v>24</v>
      </c>
      <c r="O171" s="1" t="s">
        <v>26</v>
      </c>
      <c r="P171" s="1" t="s">
        <v>51</v>
      </c>
      <c r="Q171" s="1" t="s">
        <v>36</v>
      </c>
      <c r="R171" s="1">
        <v>52</v>
      </c>
      <c r="S171" s="1" t="s">
        <v>29</v>
      </c>
      <c r="T171" s="1">
        <v>5038</v>
      </c>
    </row>
    <row r="172" spans="1:20" ht="15.75" customHeight="1" x14ac:dyDescent="0.25">
      <c r="A172" s="1" t="s">
        <v>157</v>
      </c>
      <c r="B172" s="2">
        <v>45398</v>
      </c>
      <c r="C172" s="1" t="s">
        <v>57</v>
      </c>
      <c r="D172" s="1" t="s">
        <v>49</v>
      </c>
      <c r="E172" s="1" t="s">
        <v>23</v>
      </c>
      <c r="F172" s="1">
        <v>6596</v>
      </c>
      <c r="G172" s="1">
        <v>1992</v>
      </c>
      <c r="H172" s="1">
        <v>16</v>
      </c>
      <c r="I172" s="1" t="s">
        <v>55</v>
      </c>
      <c r="J172" s="1">
        <v>2</v>
      </c>
      <c r="K172" s="1" t="s">
        <v>41</v>
      </c>
      <c r="L172" s="1">
        <v>898</v>
      </c>
      <c r="M172" s="1">
        <v>898</v>
      </c>
      <c r="O172" s="1" t="s">
        <v>42</v>
      </c>
      <c r="P172" s="1" t="s">
        <v>35</v>
      </c>
      <c r="Q172" s="1" t="s">
        <v>36</v>
      </c>
      <c r="R172" s="1">
        <v>27</v>
      </c>
      <c r="S172" s="1" t="s">
        <v>37</v>
      </c>
      <c r="T172" s="1">
        <v>2480</v>
      </c>
    </row>
    <row r="173" spans="1:20" ht="15.75" customHeight="1" x14ac:dyDescent="0.25">
      <c r="A173" s="1" t="s">
        <v>93</v>
      </c>
      <c r="B173" s="2">
        <v>45657</v>
      </c>
      <c r="C173" s="1" t="s">
        <v>57</v>
      </c>
      <c r="D173" s="1" t="s">
        <v>22</v>
      </c>
      <c r="E173" s="1" t="s">
        <v>24</v>
      </c>
      <c r="F173" s="1">
        <v>10165</v>
      </c>
      <c r="G173" s="1">
        <v>2321</v>
      </c>
      <c r="H173" s="1">
        <v>40</v>
      </c>
      <c r="I173" s="1" t="s">
        <v>24</v>
      </c>
      <c r="J173" s="1">
        <v>1</v>
      </c>
      <c r="K173" s="1" t="s">
        <v>41</v>
      </c>
      <c r="L173" s="1">
        <v>541</v>
      </c>
      <c r="M173" s="1">
        <v>180.33</v>
      </c>
      <c r="O173" s="1" t="s">
        <v>26</v>
      </c>
      <c r="P173" s="1" t="s">
        <v>27</v>
      </c>
      <c r="Q173" s="1" t="s">
        <v>43</v>
      </c>
      <c r="R173" s="1">
        <v>32</v>
      </c>
      <c r="S173" s="1" t="s">
        <v>37</v>
      </c>
      <c r="T173" s="1">
        <v>4020</v>
      </c>
    </row>
    <row r="174" spans="1:20" ht="15.75" customHeight="1" x14ac:dyDescent="0.25">
      <c r="A174" s="1" t="s">
        <v>95</v>
      </c>
      <c r="B174" s="2">
        <v>45699</v>
      </c>
      <c r="C174" s="1" t="s">
        <v>39</v>
      </c>
      <c r="D174" s="1" t="s">
        <v>22</v>
      </c>
      <c r="E174" s="1" t="s">
        <v>23</v>
      </c>
      <c r="F174" s="1">
        <v>15638</v>
      </c>
      <c r="G174" s="1">
        <v>1471</v>
      </c>
      <c r="H174" s="1">
        <v>193</v>
      </c>
      <c r="I174" s="1" t="s">
        <v>58</v>
      </c>
      <c r="J174" s="1">
        <v>6</v>
      </c>
      <c r="K174" s="1" t="s">
        <v>41</v>
      </c>
      <c r="L174" s="1">
        <v>416</v>
      </c>
      <c r="M174" s="1">
        <v>208</v>
      </c>
      <c r="O174" s="1" t="s">
        <v>42</v>
      </c>
      <c r="P174" s="1" t="s">
        <v>35</v>
      </c>
      <c r="Q174" s="1" t="s">
        <v>52</v>
      </c>
      <c r="R174" s="1">
        <v>15</v>
      </c>
      <c r="S174" s="1" t="s">
        <v>37</v>
      </c>
      <c r="T174" s="1">
        <v>1940</v>
      </c>
    </row>
    <row r="175" spans="1:20" ht="15.75" customHeight="1" x14ac:dyDescent="0.25">
      <c r="A175" s="1" t="s">
        <v>158</v>
      </c>
      <c r="B175" s="2">
        <v>45531</v>
      </c>
      <c r="C175" s="1" t="s">
        <v>21</v>
      </c>
      <c r="D175" s="1" t="s">
        <v>32</v>
      </c>
      <c r="E175" s="1" t="s">
        <v>23</v>
      </c>
      <c r="F175" s="1">
        <v>4750</v>
      </c>
      <c r="G175" s="1">
        <v>1237</v>
      </c>
      <c r="H175" s="1">
        <v>180</v>
      </c>
      <c r="I175" s="1" t="s">
        <v>34</v>
      </c>
      <c r="J175" s="1">
        <v>30</v>
      </c>
      <c r="K175" s="1" t="s">
        <v>41</v>
      </c>
      <c r="L175" s="1">
        <v>216</v>
      </c>
      <c r="M175" s="1">
        <v>72</v>
      </c>
      <c r="O175" s="1" t="s">
        <v>42</v>
      </c>
      <c r="P175" s="1" t="s">
        <v>35</v>
      </c>
      <c r="Q175" s="1" t="s">
        <v>28</v>
      </c>
      <c r="R175" s="1">
        <v>31</v>
      </c>
      <c r="S175" s="1" t="s">
        <v>37</v>
      </c>
      <c r="T175" s="1">
        <v>5005</v>
      </c>
    </row>
    <row r="176" spans="1:20" ht="15.75" customHeight="1" x14ac:dyDescent="0.25">
      <c r="A176" s="1" t="s">
        <v>104</v>
      </c>
      <c r="B176" s="2">
        <v>45475</v>
      </c>
      <c r="C176" s="1" t="s">
        <v>57</v>
      </c>
      <c r="D176" s="1" t="s">
        <v>45</v>
      </c>
      <c r="E176" s="1" t="s">
        <v>33</v>
      </c>
      <c r="F176" s="1">
        <v>8924</v>
      </c>
      <c r="G176" s="1">
        <v>4708</v>
      </c>
      <c r="H176" s="1">
        <v>56</v>
      </c>
      <c r="I176" s="1" t="s">
        <v>63</v>
      </c>
      <c r="J176" s="1">
        <v>28</v>
      </c>
      <c r="K176" s="1" t="s">
        <v>41</v>
      </c>
      <c r="L176" s="1">
        <v>454</v>
      </c>
      <c r="M176" s="1">
        <v>454</v>
      </c>
      <c r="O176" s="1" t="s">
        <v>42</v>
      </c>
      <c r="P176" s="1" t="s">
        <v>51</v>
      </c>
      <c r="Q176" s="1" t="s">
        <v>43</v>
      </c>
      <c r="R176" s="1">
        <v>92</v>
      </c>
      <c r="S176" s="1" t="s">
        <v>29</v>
      </c>
      <c r="T176" s="1">
        <v>5292</v>
      </c>
    </row>
    <row r="177" spans="1:20" ht="15.75" customHeight="1" x14ac:dyDescent="0.25">
      <c r="A177" s="1" t="s">
        <v>158</v>
      </c>
      <c r="B177" s="2">
        <v>45732</v>
      </c>
      <c r="C177" s="1" t="s">
        <v>54</v>
      </c>
      <c r="D177" s="1" t="s">
        <v>49</v>
      </c>
      <c r="E177" s="1" t="s">
        <v>24</v>
      </c>
      <c r="F177" s="1">
        <v>1510</v>
      </c>
      <c r="G177" s="1">
        <v>3689</v>
      </c>
      <c r="H177" s="1">
        <v>220</v>
      </c>
      <c r="I177" s="1" t="s">
        <v>63</v>
      </c>
      <c r="J177" s="1">
        <v>20</v>
      </c>
      <c r="K177" s="1" t="s">
        <v>41</v>
      </c>
      <c r="L177" s="1">
        <v>397</v>
      </c>
      <c r="M177" s="1">
        <v>397</v>
      </c>
      <c r="O177" s="1" t="s">
        <v>26</v>
      </c>
      <c r="P177" s="1" t="s">
        <v>35</v>
      </c>
      <c r="Q177" s="1" t="s">
        <v>36</v>
      </c>
      <c r="R177" s="1">
        <v>42</v>
      </c>
      <c r="S177" s="1" t="s">
        <v>47</v>
      </c>
      <c r="T177" s="1">
        <v>4628</v>
      </c>
    </row>
    <row r="178" spans="1:20" ht="15.75" customHeight="1" x14ac:dyDescent="0.25">
      <c r="A178" s="1" t="s">
        <v>159</v>
      </c>
      <c r="B178" s="2">
        <v>45379</v>
      </c>
      <c r="C178" s="1" t="s">
        <v>57</v>
      </c>
      <c r="D178" s="1" t="s">
        <v>49</v>
      </c>
      <c r="E178" s="1" t="s">
        <v>33</v>
      </c>
      <c r="F178" s="1">
        <v>8023</v>
      </c>
      <c r="G178" s="1">
        <v>3393</v>
      </c>
      <c r="H178" s="1">
        <v>90</v>
      </c>
      <c r="I178" s="1" t="s">
        <v>34</v>
      </c>
      <c r="J178" s="1">
        <v>24</v>
      </c>
      <c r="K178" s="1" t="s">
        <v>41</v>
      </c>
      <c r="L178" s="1">
        <v>487</v>
      </c>
      <c r="M178" s="1">
        <v>487</v>
      </c>
      <c r="O178" s="1" t="s">
        <v>26</v>
      </c>
      <c r="P178" s="1" t="s">
        <v>35</v>
      </c>
      <c r="Q178" s="1" t="s">
        <v>43</v>
      </c>
      <c r="R178" s="1">
        <v>85</v>
      </c>
      <c r="S178" s="1" t="s">
        <v>47</v>
      </c>
      <c r="T178" s="1">
        <v>3809</v>
      </c>
    </row>
    <row r="179" spans="1:20" ht="15.75" customHeight="1" x14ac:dyDescent="0.25">
      <c r="A179" s="1" t="s">
        <v>75</v>
      </c>
      <c r="B179" s="2">
        <v>45778</v>
      </c>
      <c r="C179" s="1" t="s">
        <v>21</v>
      </c>
      <c r="D179" s="1" t="s">
        <v>22</v>
      </c>
      <c r="E179" s="1" t="s">
        <v>24</v>
      </c>
      <c r="F179" s="1">
        <v>8443</v>
      </c>
      <c r="G179" s="1">
        <v>3016</v>
      </c>
      <c r="H179" s="1">
        <v>58</v>
      </c>
      <c r="I179" s="1" t="s">
        <v>55</v>
      </c>
      <c r="J179" s="1">
        <v>14</v>
      </c>
      <c r="K179" s="1" t="s">
        <v>41</v>
      </c>
      <c r="L179" s="1">
        <v>569</v>
      </c>
      <c r="M179" s="1">
        <v>569</v>
      </c>
      <c r="N179" s="1">
        <v>53</v>
      </c>
      <c r="O179" s="1" t="s">
        <v>42</v>
      </c>
      <c r="P179" s="1" t="s">
        <v>51</v>
      </c>
      <c r="Q179" s="1" t="s">
        <v>28</v>
      </c>
      <c r="R179" s="1">
        <v>63</v>
      </c>
      <c r="S179" s="1" t="s">
        <v>47</v>
      </c>
      <c r="T179" s="1">
        <v>5109</v>
      </c>
    </row>
    <row r="180" spans="1:20" ht="15.75" customHeight="1" x14ac:dyDescent="0.25">
      <c r="A180" s="1" t="s">
        <v>160</v>
      </c>
      <c r="B180" s="2">
        <v>45423</v>
      </c>
      <c r="C180" s="1" t="s">
        <v>54</v>
      </c>
      <c r="D180" s="1" t="s">
        <v>32</v>
      </c>
      <c r="E180" s="1" t="s">
        <v>50</v>
      </c>
      <c r="F180" s="1">
        <v>12015</v>
      </c>
      <c r="G180" s="1">
        <v>337</v>
      </c>
      <c r="H180" s="1">
        <v>11</v>
      </c>
      <c r="I180" s="1" t="s">
        <v>34</v>
      </c>
      <c r="J180" s="1">
        <v>21</v>
      </c>
      <c r="K180" s="1" t="s">
        <v>41</v>
      </c>
      <c r="L180" s="1">
        <v>499</v>
      </c>
      <c r="M180" s="1">
        <v>499</v>
      </c>
      <c r="O180" s="1" t="s">
        <v>42</v>
      </c>
      <c r="P180" s="1" t="s">
        <v>59</v>
      </c>
      <c r="Q180" s="1" t="s">
        <v>52</v>
      </c>
      <c r="R180" s="1">
        <v>95</v>
      </c>
      <c r="S180" s="1" t="s">
        <v>37</v>
      </c>
      <c r="T180" s="1">
        <v>5792</v>
      </c>
    </row>
    <row r="181" spans="1:20" ht="15.75" customHeight="1" x14ac:dyDescent="0.25">
      <c r="A181" s="1" t="s">
        <v>79</v>
      </c>
      <c r="B181" s="2">
        <v>45821</v>
      </c>
      <c r="C181" s="1" t="s">
        <v>21</v>
      </c>
      <c r="D181" s="1" t="s">
        <v>49</v>
      </c>
      <c r="E181" s="1" t="s">
        <v>23</v>
      </c>
      <c r="F181" s="1">
        <v>17015</v>
      </c>
      <c r="G181" s="1">
        <v>2614</v>
      </c>
      <c r="H181" s="1">
        <v>144</v>
      </c>
      <c r="I181" s="1" t="s">
        <v>40</v>
      </c>
      <c r="J181" s="1">
        <v>25</v>
      </c>
      <c r="K181" s="1" t="s">
        <v>41</v>
      </c>
      <c r="L181" s="1">
        <v>250</v>
      </c>
      <c r="M181" s="1">
        <v>250</v>
      </c>
      <c r="N181" s="1">
        <v>49</v>
      </c>
      <c r="O181" s="1" t="s">
        <v>42</v>
      </c>
      <c r="P181" s="1" t="s">
        <v>46</v>
      </c>
      <c r="Q181" s="1" t="s">
        <v>36</v>
      </c>
      <c r="R181" s="1">
        <v>17</v>
      </c>
      <c r="S181" s="1" t="s">
        <v>29</v>
      </c>
      <c r="T181" s="1">
        <v>987</v>
      </c>
    </row>
    <row r="182" spans="1:20" ht="15.75" customHeight="1" x14ac:dyDescent="0.25"/>
    <row r="183" spans="1:20" ht="15.75" customHeight="1" x14ac:dyDescent="0.25"/>
    <row r="184" spans="1:20" ht="15.75" customHeight="1" x14ac:dyDescent="0.25"/>
    <row r="185" spans="1:20" ht="15.75" customHeight="1" x14ac:dyDescent="0.25"/>
    <row r="186" spans="1:20" ht="15.75" customHeight="1" x14ac:dyDescent="0.25"/>
    <row r="187" spans="1:20" ht="15.75" customHeight="1" x14ac:dyDescent="0.25"/>
    <row r="188" spans="1:20" ht="15.75" customHeight="1" x14ac:dyDescent="0.25"/>
    <row r="189" spans="1:20" ht="15.75" customHeight="1" x14ac:dyDescent="0.25"/>
    <row r="190" spans="1:20" ht="15.75" customHeight="1" x14ac:dyDescent="0.25"/>
    <row r="191" spans="1:20" ht="15.75" customHeight="1" x14ac:dyDescent="0.25"/>
    <row r="192" spans="1:20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autoFilter ref="A1:T181" xr:uid="{20A2E28D-8897-4A19-B5EF-CF028B9B2882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10BC-26FE-410F-9FBE-44D3A72BE367}">
  <dimension ref="A1:B4"/>
  <sheetViews>
    <sheetView workbookViewId="0">
      <selection activeCell="B29" sqref="B29"/>
    </sheetView>
  </sheetViews>
  <sheetFormatPr defaultRowHeight="15" x14ac:dyDescent="0.25"/>
  <cols>
    <col min="1" max="1" width="27.5703125" bestFit="1" customWidth="1"/>
    <col min="2" max="2" width="66" bestFit="1" customWidth="1"/>
  </cols>
  <sheetData>
    <row r="1" spans="1:2" x14ac:dyDescent="0.25">
      <c r="A1" t="s">
        <v>161</v>
      </c>
      <c r="B1" t="s">
        <v>162</v>
      </c>
    </row>
    <row r="2" spans="1:2" x14ac:dyDescent="0.25">
      <c r="A2" t="s">
        <v>163</v>
      </c>
      <c r="B2" t="s">
        <v>164</v>
      </c>
    </row>
    <row r="3" spans="1:2" x14ac:dyDescent="0.25">
      <c r="A3" t="s">
        <v>167</v>
      </c>
      <c r="B3" t="s">
        <v>168</v>
      </c>
    </row>
    <row r="4" spans="1:2" x14ac:dyDescent="0.25">
      <c r="A4" t="s">
        <v>169</v>
      </c>
      <c r="B4" t="s">
        <v>170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7139-3E03-4C45-8690-143B9CCE0B15}">
  <dimension ref="A1:AH1000"/>
  <sheetViews>
    <sheetView workbookViewId="0">
      <selection activeCell="AG37" sqref="AG37"/>
    </sheetView>
  </sheetViews>
  <sheetFormatPr defaultColWidth="14.42578125" defaultRowHeight="15" x14ac:dyDescent="0.25"/>
  <cols>
    <col min="1" max="1" width="9.7109375" customWidth="1"/>
    <col min="2" max="2" width="16.5703125" bestFit="1" customWidth="1"/>
    <col min="3" max="3" width="17.5703125" bestFit="1" customWidth="1"/>
    <col min="4" max="4" width="13.42578125" bestFit="1" customWidth="1"/>
    <col min="5" max="5" width="21" bestFit="1" customWidth="1"/>
    <col min="6" max="6" width="15.42578125" bestFit="1" customWidth="1"/>
    <col min="7" max="7" width="12.140625" bestFit="1" customWidth="1"/>
    <col min="8" max="8" width="16.28515625" bestFit="1" customWidth="1"/>
    <col min="9" max="9" width="13.42578125" bestFit="1" customWidth="1"/>
    <col min="10" max="11" width="19.85546875" bestFit="1" customWidth="1"/>
    <col min="12" max="12" width="14" bestFit="1" customWidth="1"/>
    <col min="13" max="13" width="15" bestFit="1" customWidth="1"/>
    <col min="14" max="14" width="8.28515625" bestFit="1" customWidth="1"/>
    <col min="15" max="15" width="9.5703125" bestFit="1" customWidth="1"/>
    <col min="16" max="16" width="13.85546875" bestFit="1" customWidth="1"/>
    <col min="17" max="17" width="21.140625" bestFit="1" customWidth="1"/>
    <col min="18" max="18" width="16.140625" bestFit="1" customWidth="1"/>
    <col min="19" max="19" width="14.85546875" bestFit="1" customWidth="1"/>
    <col min="20" max="20" width="12.140625" bestFit="1" customWidth="1"/>
    <col min="21" max="21" width="13.28515625" bestFit="1" customWidth="1"/>
    <col min="22" max="22" width="18.140625" bestFit="1" customWidth="1"/>
    <col min="23" max="23" width="19" bestFit="1" customWidth="1"/>
    <col min="24" max="24" width="20.5703125" bestFit="1" customWidth="1"/>
    <col min="25" max="25" width="17.7109375" bestFit="1" customWidth="1"/>
    <col min="26" max="26" width="13.5703125" bestFit="1" customWidth="1"/>
    <col min="27" max="27" width="22.42578125" bestFit="1" customWidth="1"/>
    <col min="28" max="28" width="19.140625" bestFit="1" customWidth="1"/>
    <col min="29" max="29" width="23.28515625" bestFit="1" customWidth="1"/>
    <col min="30" max="31" width="17.7109375" customWidth="1"/>
    <col min="32" max="32" width="28" bestFit="1" customWidth="1"/>
    <col min="33" max="33" width="13.28515625" bestFit="1" customWidth="1"/>
    <col min="34" max="34" width="25.5703125" bestFit="1" customWidth="1"/>
    <col min="35" max="35" width="8.710937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18</v>
      </c>
      <c r="S1" s="1" t="s">
        <v>19</v>
      </c>
      <c r="T1" s="1" t="s">
        <v>173</v>
      </c>
      <c r="U1" s="1" t="s">
        <v>174</v>
      </c>
      <c r="V1" s="14" t="s">
        <v>180</v>
      </c>
      <c r="W1" s="1" t="s">
        <v>181</v>
      </c>
      <c r="X1" s="14" t="s">
        <v>187</v>
      </c>
      <c r="Y1" s="14" t="s">
        <v>188</v>
      </c>
      <c r="Z1" s="14" t="s">
        <v>191</v>
      </c>
      <c r="AA1" s="14" t="s">
        <v>192</v>
      </c>
      <c r="AB1" s="14" t="s">
        <v>193</v>
      </c>
      <c r="AC1" s="14" t="s">
        <v>194</v>
      </c>
      <c r="AD1" s="14" t="s">
        <v>204</v>
      </c>
      <c r="AE1" s="14"/>
    </row>
    <row r="2" spans="1:34" x14ac:dyDescent="0.25">
      <c r="A2" s="1" t="s">
        <v>48</v>
      </c>
      <c r="B2" s="2">
        <v>45602</v>
      </c>
      <c r="C2" s="1" t="s">
        <v>21</v>
      </c>
      <c r="D2" s="1" t="s">
        <v>49</v>
      </c>
      <c r="E2" s="1" t="s">
        <v>50</v>
      </c>
      <c r="F2" s="1">
        <v>16128</v>
      </c>
      <c r="G2" s="1">
        <v>3566</v>
      </c>
      <c r="H2" s="1">
        <v>154</v>
      </c>
      <c r="I2" s="1" t="s">
        <v>24</v>
      </c>
      <c r="J2" s="1">
        <v>20</v>
      </c>
      <c r="K2" s="1" t="s">
        <v>25</v>
      </c>
      <c r="L2" s="1">
        <v>0</v>
      </c>
      <c r="M2" s="1">
        <v>0</v>
      </c>
      <c r="N2" s="1">
        <v>22</v>
      </c>
      <c r="O2" s="1" t="s">
        <v>42</v>
      </c>
      <c r="P2" s="1" t="s">
        <v>51</v>
      </c>
      <c r="Q2" s="1">
        <v>27</v>
      </c>
      <c r="R2" s="1" t="s">
        <v>29</v>
      </c>
      <c r="S2" s="1">
        <v>2885</v>
      </c>
      <c r="T2" s="5">
        <f>Tabela1[[#This Row],[investimento]]/Tabela1[[#This Row],[leads_gerados]]</f>
        <v>104.72727272727273</v>
      </c>
      <c r="U2" s="5">
        <f>VLOOKUP(Tabela1[[#This Row],[canal_aquisicao]],Tabela2[#All],2,0)</f>
        <v>18122.25</v>
      </c>
      <c r="V2" s="1" t="str">
        <f t="shared" ref="V2:V33" si="0">IF(Q2&gt;=70,"Qualificado","Não Qualificado")</f>
        <v>Não Qualificado</v>
      </c>
      <c r="W2" s="1" t="str">
        <f>VLOOKUP(C2,Tabela5[#All],2,0)</f>
        <v>Intenção de Compra</v>
      </c>
      <c r="X2" s="14" t="str">
        <f t="shared" ref="X2:X33" si="1">IF(Q2&gt;=70, "Alto", IF(Q2&gt;=40, "Médio", "Baixo"))</f>
        <v>Baixo</v>
      </c>
      <c r="Y2" s="17" t="str">
        <f t="shared" ref="Y2:Y33" si="2">IF(M2=0, "Sem Compra", IF(M2&gt;=400, "Alto", IF(M2&gt;=150, "Médio", "Baixo")))</f>
        <v>Sem Compra</v>
      </c>
      <c r="Z2" s="17" t="str">
        <f t="shared" ref="Z2:Z33" si="3">IF(N2&gt;=18,IF(N2&lt;=25,"Jovem",IF(N2&lt;=40,"Adulto","Sênior")),"")</f>
        <v>Jovem</v>
      </c>
      <c r="AA2" s="17" t="str">
        <f>IF($AG$10&gt;=Tabela1[[#This Row],[investimento]]&gt;=$AG$11,"OK","Outlier")</f>
        <v>OK</v>
      </c>
      <c r="AB2" s="17" t="str">
        <f>IF($AG$17&gt;=Tabela1[[#This Row],[visitantes]]&gt;=$AG$18,"OK","Outlier")</f>
        <v>OK</v>
      </c>
      <c r="AC2" s="17" t="str">
        <f>IF($AG$24&gt;=Tabela1[[#This Row],[leads_gerados]]&gt;=$AG$25,"OK","Outlier")</f>
        <v>OK</v>
      </c>
      <c r="AD2" s="17" t="str">
        <f>IF($AG$31&gt;=Tabela1[[#This Row],[ltv_estimado]]&gt;=$AG$32,"OK","Outlier")</f>
        <v>OK</v>
      </c>
      <c r="AE2" s="17"/>
      <c r="AF2" t="s">
        <v>171</v>
      </c>
      <c r="AG2">
        <v>38</v>
      </c>
    </row>
    <row r="3" spans="1:34" x14ac:dyDescent="0.25">
      <c r="A3" s="1" t="s">
        <v>60</v>
      </c>
      <c r="B3" s="2">
        <v>45674</v>
      </c>
      <c r="C3" s="1" t="s">
        <v>39</v>
      </c>
      <c r="D3" s="1" t="s">
        <v>49</v>
      </c>
      <c r="E3" s="1" t="s">
        <v>50</v>
      </c>
      <c r="F3" s="1">
        <v>7629</v>
      </c>
      <c r="G3" s="1">
        <v>1682</v>
      </c>
      <c r="H3" s="1">
        <v>230</v>
      </c>
      <c r="I3" s="1" t="s">
        <v>55</v>
      </c>
      <c r="J3" s="1">
        <v>32</v>
      </c>
      <c r="K3" s="1" t="s">
        <v>25</v>
      </c>
      <c r="L3" s="1">
        <v>0</v>
      </c>
      <c r="M3" s="1">
        <v>0</v>
      </c>
      <c r="N3" s="1">
        <v>64</v>
      </c>
      <c r="O3" s="1" t="s">
        <v>26</v>
      </c>
      <c r="P3" s="1" t="s">
        <v>46</v>
      </c>
      <c r="Q3" s="1">
        <v>60</v>
      </c>
      <c r="R3" s="1" t="s">
        <v>47</v>
      </c>
      <c r="S3" s="1">
        <v>1514</v>
      </c>
      <c r="T3" s="5">
        <f>Tabela1[[#This Row],[investimento]]/Tabela1[[#This Row],[leads_gerados]]</f>
        <v>33.169565217391302</v>
      </c>
      <c r="U3" s="5">
        <f>VLOOKUP(Tabela1[[#This Row],[canal_aquisicao]],Tabela2[#All],2,0)</f>
        <v>23256.714285714286</v>
      </c>
      <c r="V3" s="1" t="str">
        <f t="shared" si="0"/>
        <v>Não Qualificado</v>
      </c>
      <c r="W3" s="1" t="str">
        <f>VLOOKUP(C3,Tabela5[#All],2,0)</f>
        <v>Awareness</v>
      </c>
      <c r="X3" s="14" t="str">
        <f t="shared" si="1"/>
        <v>Médio</v>
      </c>
      <c r="Y3" s="17" t="str">
        <f t="shared" si="2"/>
        <v>Sem Compra</v>
      </c>
      <c r="Z3" s="17" t="str">
        <f t="shared" si="3"/>
        <v>Sênior</v>
      </c>
      <c r="AA3" s="17" t="str">
        <f>IF($AG$10&gt;=Tabela1[[#This Row],[investimento]]&gt;=$AG$11,"OK","Outlier")</f>
        <v>OK</v>
      </c>
      <c r="AB3" s="17" t="str">
        <f>IF($AG$17&gt;=Tabela1[[#This Row],[visitantes]]&gt;=$AG$18,"OK","Outlier")</f>
        <v>OK</v>
      </c>
      <c r="AC3" s="17" t="str">
        <f>IF($AG$24&gt;=Tabela1[[#This Row],[leads_gerados]]&gt;=$AG$25,"OK","Outlier")</f>
        <v>OK</v>
      </c>
      <c r="AD3" s="17" t="str">
        <f>IF($AG$31&gt;=Tabela1[[#This Row],[ltv_estimado]]&gt;=$AG$32,"OK","Outlier")</f>
        <v>OK</v>
      </c>
      <c r="AE3" s="17"/>
      <c r="AF3" s="3" t="s">
        <v>172</v>
      </c>
      <c r="AG3">
        <v>40</v>
      </c>
    </row>
    <row r="4" spans="1:34" x14ac:dyDescent="0.25">
      <c r="A4" s="1" t="s">
        <v>69</v>
      </c>
      <c r="B4" s="2">
        <v>45401</v>
      </c>
      <c r="C4" s="1" t="s">
        <v>21</v>
      </c>
      <c r="D4" s="1" t="s">
        <v>49</v>
      </c>
      <c r="E4" s="1" t="s">
        <v>33</v>
      </c>
      <c r="F4" s="1">
        <v>17408</v>
      </c>
      <c r="G4" s="1">
        <v>1173</v>
      </c>
      <c r="H4" s="1">
        <v>293</v>
      </c>
      <c r="I4" s="1" t="s">
        <v>24</v>
      </c>
      <c r="J4" s="1">
        <v>2</v>
      </c>
      <c r="K4" s="1" t="s">
        <v>25</v>
      </c>
      <c r="L4" s="1">
        <v>0</v>
      </c>
      <c r="M4" s="1">
        <v>0</v>
      </c>
      <c r="N4" s="1">
        <v>45</v>
      </c>
      <c r="O4" s="1" t="s">
        <v>42</v>
      </c>
      <c r="P4" s="1" t="s">
        <v>46</v>
      </c>
      <c r="Q4" s="1">
        <v>85</v>
      </c>
      <c r="R4" s="1" t="s">
        <v>47</v>
      </c>
      <c r="S4" s="1">
        <v>2558</v>
      </c>
      <c r="T4" s="5">
        <f>Tabela1[[#This Row],[investimento]]/Tabela1[[#This Row],[leads_gerados]]</f>
        <v>59.412969283276453</v>
      </c>
      <c r="U4" s="5">
        <f>VLOOKUP(Tabela1[[#This Row],[canal_aquisicao]],Tabela2[#All],2,0)</f>
        <v>18122.25</v>
      </c>
      <c r="V4" s="1" t="str">
        <f t="shared" si="0"/>
        <v>Qualificado</v>
      </c>
      <c r="W4" s="1" t="str">
        <f>VLOOKUP(C4,Tabela5[#All],2,0)</f>
        <v>Intenção de Compra</v>
      </c>
      <c r="X4" s="14" t="str">
        <f t="shared" si="1"/>
        <v>Alto</v>
      </c>
      <c r="Y4" s="17" t="str">
        <f t="shared" si="2"/>
        <v>Sem Compra</v>
      </c>
      <c r="Z4" s="17" t="str">
        <f t="shared" si="3"/>
        <v>Sênior</v>
      </c>
      <c r="AA4" s="17" t="str">
        <f>IF($AG$10&gt;=Tabela1[[#This Row],[investimento]]&gt;=$AG$11,"OK","Outlier")</f>
        <v>OK</v>
      </c>
      <c r="AB4" s="17" t="str">
        <f>IF($AG$17&gt;=Tabela1[[#This Row],[visitantes]]&gt;=$AG$18,"OK","Outlier")</f>
        <v>OK</v>
      </c>
      <c r="AC4" s="17" t="str">
        <f>IF($AG$24&gt;=Tabela1[[#This Row],[leads_gerados]]&gt;=$AG$25,"OK","Outlier")</f>
        <v>OK</v>
      </c>
      <c r="AD4" s="17" t="str">
        <f>IF($AG$31&gt;=Tabela1[[#This Row],[ltv_estimado]]&gt;=$AG$32,"OK","Outlier")</f>
        <v>OK</v>
      </c>
      <c r="AE4" s="17"/>
      <c r="AF4" t="s">
        <v>189</v>
      </c>
      <c r="AG4">
        <f>CORREL(Q:Q,S:S)</f>
        <v>7.4254379769034817E-2</v>
      </c>
      <c r="AH4" t="s">
        <v>190</v>
      </c>
    </row>
    <row r="5" spans="1:34" x14ac:dyDescent="0.25">
      <c r="A5" s="1" t="s">
        <v>71</v>
      </c>
      <c r="B5" s="2">
        <v>45436</v>
      </c>
      <c r="C5" s="1" t="s">
        <v>21</v>
      </c>
      <c r="D5" s="1" t="s">
        <v>49</v>
      </c>
      <c r="E5" s="1" t="s">
        <v>23</v>
      </c>
      <c r="F5" s="1">
        <v>5797</v>
      </c>
      <c r="G5" s="1">
        <v>4974</v>
      </c>
      <c r="H5" s="1">
        <v>121</v>
      </c>
      <c r="I5" s="1" t="s">
        <v>24</v>
      </c>
      <c r="J5" s="1">
        <v>29</v>
      </c>
      <c r="K5" s="1" t="s">
        <v>41</v>
      </c>
      <c r="L5" s="1">
        <v>716</v>
      </c>
      <c r="M5" s="1">
        <v>716</v>
      </c>
      <c r="N5" s="1">
        <v>65</v>
      </c>
      <c r="O5" s="1" t="s">
        <v>42</v>
      </c>
      <c r="P5" s="1" t="s">
        <v>46</v>
      </c>
      <c r="Q5" s="1">
        <v>58</v>
      </c>
      <c r="R5" s="1" t="s">
        <v>47</v>
      </c>
      <c r="S5" s="1">
        <v>2661</v>
      </c>
      <c r="T5" s="5">
        <f>Tabela1[[#This Row],[investimento]]/Tabela1[[#This Row],[leads_gerados]]</f>
        <v>47.909090909090907</v>
      </c>
      <c r="U5" s="5">
        <f>VLOOKUP(Tabela1[[#This Row],[canal_aquisicao]],Tabela2[#All],2,0)</f>
        <v>18122.25</v>
      </c>
      <c r="V5" s="1" t="str">
        <f t="shared" si="0"/>
        <v>Não Qualificado</v>
      </c>
      <c r="W5" s="1" t="str">
        <f>VLOOKUP(C5,Tabela5[#All],2,0)</f>
        <v>Intenção de Compra</v>
      </c>
      <c r="X5" s="14" t="str">
        <f t="shared" si="1"/>
        <v>Médio</v>
      </c>
      <c r="Y5" s="17" t="str">
        <f t="shared" si="2"/>
        <v>Alto</v>
      </c>
      <c r="Z5" s="17" t="str">
        <f t="shared" si="3"/>
        <v>Sênior</v>
      </c>
      <c r="AA5" s="17" t="str">
        <f>IF($AG$10&gt;=Tabela1[[#This Row],[investimento]]&gt;=$AG$11,"OK","Outlier")</f>
        <v>OK</v>
      </c>
      <c r="AB5" s="17" t="str">
        <f>IF($AG$17&gt;=Tabela1[[#This Row],[visitantes]]&gt;=$AG$18,"OK","Outlier")</f>
        <v>OK</v>
      </c>
      <c r="AC5" s="17" t="str">
        <f>IF($AG$24&gt;=Tabela1[[#This Row],[leads_gerados]]&gt;=$AG$25,"OK","Outlier")</f>
        <v>OK</v>
      </c>
      <c r="AD5" s="17" t="str">
        <f>IF($AG$31&gt;=Tabela1[[#This Row],[ltv_estimado]]&gt;=$AG$32,"OK","Outlier")</f>
        <v>OK</v>
      </c>
      <c r="AE5" s="17"/>
    </row>
    <row r="6" spans="1:34" x14ac:dyDescent="0.25">
      <c r="A6" s="1" t="s">
        <v>77</v>
      </c>
      <c r="B6" s="2">
        <v>45547</v>
      </c>
      <c r="C6" s="1" t="s">
        <v>54</v>
      </c>
      <c r="D6" s="1" t="s">
        <v>49</v>
      </c>
      <c r="E6" s="1" t="s">
        <v>50</v>
      </c>
      <c r="F6" s="1">
        <v>2859</v>
      </c>
      <c r="G6" s="1">
        <v>2303</v>
      </c>
      <c r="H6" s="1">
        <v>144</v>
      </c>
      <c r="I6" s="1" t="s">
        <v>34</v>
      </c>
      <c r="J6" s="1">
        <v>15</v>
      </c>
      <c r="K6" s="1" t="s">
        <v>41</v>
      </c>
      <c r="L6" s="1">
        <v>556</v>
      </c>
      <c r="M6" s="1">
        <v>556</v>
      </c>
      <c r="N6" s="1">
        <v>59</v>
      </c>
      <c r="O6" s="1" t="s">
        <v>42</v>
      </c>
      <c r="P6" s="1" t="s">
        <v>35</v>
      </c>
      <c r="Q6" s="1">
        <v>82</v>
      </c>
      <c r="R6" s="1" t="s">
        <v>37</v>
      </c>
      <c r="S6" s="1">
        <v>1362</v>
      </c>
      <c r="T6" s="5">
        <f>Tabela1[[#This Row],[investimento]]/Tabela1[[#This Row],[leads_gerados]]</f>
        <v>19.854166666666668</v>
      </c>
      <c r="U6" s="5">
        <f>VLOOKUP(Tabela1[[#This Row],[canal_aquisicao]],Tabela2[#All],2,0)</f>
        <v>23467.142857142859</v>
      </c>
      <c r="V6" s="1" t="str">
        <f t="shared" si="0"/>
        <v>Qualificado</v>
      </c>
      <c r="W6" s="1" t="str">
        <f>VLOOKUP(C6,Tabela5[#All],2,0)</f>
        <v>Awareness</v>
      </c>
      <c r="X6" s="14" t="str">
        <f t="shared" si="1"/>
        <v>Alto</v>
      </c>
      <c r="Y6" s="17" t="str">
        <f t="shared" si="2"/>
        <v>Alto</v>
      </c>
      <c r="Z6" s="17" t="str">
        <f t="shared" si="3"/>
        <v>Sênior</v>
      </c>
      <c r="AA6" s="17" t="str">
        <f>IF($AG$10&gt;=Tabela1[[#This Row],[investimento]]&gt;=$AG$11,"OK","Outlier")</f>
        <v>OK</v>
      </c>
      <c r="AB6" s="17" t="str">
        <f>IF($AG$17&gt;=Tabela1[[#This Row],[visitantes]]&gt;=$AG$18,"OK","Outlier")</f>
        <v>OK</v>
      </c>
      <c r="AC6" s="17" t="str">
        <f>IF($AG$24&gt;=Tabela1[[#This Row],[leads_gerados]]&gt;=$AG$25,"OK","Outlier")</f>
        <v>OK</v>
      </c>
      <c r="AD6" s="17" t="str">
        <f>IF($AG$31&gt;=Tabela1[[#This Row],[ltv_estimado]]&gt;=$AG$32,"OK","Outlier")</f>
        <v>OK</v>
      </c>
      <c r="AE6" s="17"/>
      <c r="AF6" t="s">
        <v>200</v>
      </c>
    </row>
    <row r="7" spans="1:34" x14ac:dyDescent="0.25">
      <c r="A7" s="1" t="s">
        <v>80</v>
      </c>
      <c r="B7" s="2">
        <v>45827</v>
      </c>
      <c r="C7" s="1" t="s">
        <v>39</v>
      </c>
      <c r="D7" s="1" t="s">
        <v>49</v>
      </c>
      <c r="E7" s="1" t="s">
        <v>23</v>
      </c>
      <c r="F7" s="1">
        <v>6846</v>
      </c>
      <c r="G7" s="1">
        <v>2876</v>
      </c>
      <c r="H7" s="1">
        <v>108</v>
      </c>
      <c r="I7" s="1" t="s">
        <v>63</v>
      </c>
      <c r="J7" s="1">
        <v>3</v>
      </c>
      <c r="K7" s="1" t="s">
        <v>41</v>
      </c>
      <c r="L7" s="1">
        <v>209</v>
      </c>
      <c r="M7" s="1">
        <v>209</v>
      </c>
      <c r="N7" s="1">
        <v>22</v>
      </c>
      <c r="O7" s="1" t="s">
        <v>26</v>
      </c>
      <c r="P7" s="1" t="s">
        <v>46</v>
      </c>
      <c r="Q7" s="1">
        <v>68</v>
      </c>
      <c r="R7" s="1" t="s">
        <v>47</v>
      </c>
      <c r="S7" s="1">
        <v>1118</v>
      </c>
      <c r="T7" s="5">
        <f>Tabela1[[#This Row],[investimento]]/Tabela1[[#This Row],[leads_gerados]]</f>
        <v>63.388888888888886</v>
      </c>
      <c r="U7" s="5">
        <f>VLOOKUP(Tabela1[[#This Row],[canal_aquisicao]],Tabela2[#All],2,0)</f>
        <v>23256.714285714286</v>
      </c>
      <c r="V7" s="1" t="str">
        <f t="shared" si="0"/>
        <v>Não Qualificado</v>
      </c>
      <c r="W7" s="1" t="str">
        <f>VLOOKUP(C7,Tabela5[#All],2,0)</f>
        <v>Awareness</v>
      </c>
      <c r="X7" s="14" t="str">
        <f t="shared" si="1"/>
        <v>Médio</v>
      </c>
      <c r="Y7" s="17" t="str">
        <f t="shared" si="2"/>
        <v>Médio</v>
      </c>
      <c r="Z7" s="17" t="str">
        <f t="shared" si="3"/>
        <v>Jovem</v>
      </c>
      <c r="AA7" s="17" t="str">
        <f>IF($AG$10&gt;=Tabela1[[#This Row],[investimento]]&gt;=$AG$11,"OK","Outlier")</f>
        <v>OK</v>
      </c>
      <c r="AB7" s="17" t="str">
        <f>IF($AG$17&gt;=Tabela1[[#This Row],[visitantes]]&gt;=$AG$18,"OK","Outlier")</f>
        <v>OK</v>
      </c>
      <c r="AC7" s="17" t="str">
        <f>IF($AG$24&gt;=Tabela1[[#This Row],[leads_gerados]]&gt;=$AG$25,"OK","Outlier")</f>
        <v>OK</v>
      </c>
      <c r="AD7" s="17" t="str">
        <f>IF($AG$31&gt;=Tabela1[[#This Row],[ltv_estimado]]&gt;=$AG$32,"OK","Outlier")</f>
        <v>OK</v>
      </c>
      <c r="AE7" s="17"/>
      <c r="AF7" t="s">
        <v>195</v>
      </c>
      <c r="AG7">
        <f>_xlfn.QUARTILE.EXC(F2:F181,1)</f>
        <v>5529.25</v>
      </c>
    </row>
    <row r="8" spans="1:34" x14ac:dyDescent="0.25">
      <c r="A8" s="1" t="s">
        <v>82</v>
      </c>
      <c r="B8" s="2">
        <v>45411</v>
      </c>
      <c r="C8" s="1" t="s">
        <v>39</v>
      </c>
      <c r="D8" s="1" t="s">
        <v>49</v>
      </c>
      <c r="E8" s="1" t="s">
        <v>23</v>
      </c>
      <c r="F8" s="1">
        <v>10815</v>
      </c>
      <c r="G8" s="1">
        <v>4031</v>
      </c>
      <c r="H8" s="1">
        <v>3</v>
      </c>
      <c r="I8" s="1" t="s">
        <v>58</v>
      </c>
      <c r="J8" s="1">
        <v>11</v>
      </c>
      <c r="K8" s="1" t="s">
        <v>25</v>
      </c>
      <c r="L8" s="1">
        <v>0</v>
      </c>
      <c r="M8" s="1">
        <v>0</v>
      </c>
      <c r="N8" s="1">
        <v>42</v>
      </c>
      <c r="O8" s="1" t="s">
        <v>26</v>
      </c>
      <c r="P8" s="1" t="s">
        <v>51</v>
      </c>
      <c r="Q8" s="1">
        <v>87</v>
      </c>
      <c r="R8" s="1" t="s">
        <v>37</v>
      </c>
      <c r="S8" s="1">
        <v>5865</v>
      </c>
      <c r="T8" s="5">
        <f>Tabela1[[#This Row],[investimento]]/Tabela1[[#This Row],[leads_gerados]]</f>
        <v>3605</v>
      </c>
      <c r="U8" s="5">
        <f>VLOOKUP(Tabela1[[#This Row],[canal_aquisicao]],Tabela2[#All],2,0)</f>
        <v>23256.714285714286</v>
      </c>
      <c r="V8" s="1" t="str">
        <f t="shared" si="0"/>
        <v>Qualificado</v>
      </c>
      <c r="W8" s="1" t="str">
        <f>VLOOKUP(C8,Tabela5[#All],2,0)</f>
        <v>Awareness</v>
      </c>
      <c r="X8" s="14" t="str">
        <f t="shared" si="1"/>
        <v>Alto</v>
      </c>
      <c r="Y8" s="17" t="str">
        <f t="shared" si="2"/>
        <v>Sem Compra</v>
      </c>
      <c r="Z8" s="17" t="str">
        <f t="shared" si="3"/>
        <v>Sênior</v>
      </c>
      <c r="AA8" s="17" t="str">
        <f>IF($AG$10&gt;=Tabela1[[#This Row],[investimento]]&gt;=$AG$11,"OK","Outlier")</f>
        <v>OK</v>
      </c>
      <c r="AB8" s="17" t="str">
        <f>IF($AG$17&gt;=Tabela1[[#This Row],[visitantes]]&gt;=$AG$18,"OK","Outlier")</f>
        <v>OK</v>
      </c>
      <c r="AC8" s="17" t="str">
        <f>IF($AG$24&gt;=Tabela1[[#This Row],[leads_gerados]]&gt;=$AG$25,"OK","Outlier")</f>
        <v>OK</v>
      </c>
      <c r="AD8" s="17" t="str">
        <f>IF($AG$31&gt;=Tabela1[[#This Row],[ltv_estimado]]&gt;=$AG$32,"OK","Outlier")</f>
        <v>OK</v>
      </c>
      <c r="AE8" s="17"/>
      <c r="AF8" t="s">
        <v>196</v>
      </c>
      <c r="AG8">
        <f>_xlfn.QUARTILE.EXC(F2:F181,3)</f>
        <v>14339.75</v>
      </c>
    </row>
    <row r="9" spans="1:34" x14ac:dyDescent="0.25">
      <c r="A9" s="1" t="s">
        <v>84</v>
      </c>
      <c r="B9" s="2">
        <v>45792</v>
      </c>
      <c r="C9" s="1" t="s">
        <v>31</v>
      </c>
      <c r="D9" s="1" t="s">
        <v>49</v>
      </c>
      <c r="E9" s="1" t="s">
        <v>24</v>
      </c>
      <c r="F9" s="1">
        <v>10804</v>
      </c>
      <c r="G9" s="1">
        <v>4984</v>
      </c>
      <c r="H9" s="1">
        <v>17</v>
      </c>
      <c r="I9" s="1" t="s">
        <v>55</v>
      </c>
      <c r="J9" s="1">
        <v>17</v>
      </c>
      <c r="K9" s="1" t="s">
        <v>25</v>
      </c>
      <c r="L9" s="1">
        <v>0</v>
      </c>
      <c r="M9" s="1">
        <v>0</v>
      </c>
      <c r="N9">
        <v>38</v>
      </c>
      <c r="O9" s="1" t="s">
        <v>26</v>
      </c>
      <c r="P9" s="1" t="s">
        <v>46</v>
      </c>
      <c r="Q9" s="1">
        <v>20</v>
      </c>
      <c r="R9" s="1" t="s">
        <v>29</v>
      </c>
      <c r="S9" s="1">
        <v>4764</v>
      </c>
      <c r="T9" s="5">
        <f>Tabela1[[#This Row],[investimento]]/Tabela1[[#This Row],[leads_gerados]]</f>
        <v>635.52941176470586</v>
      </c>
      <c r="U9" s="5">
        <f>VLOOKUP(Tabela1[[#This Row],[canal_aquisicao]],Tabela2[#All],2,0)</f>
        <v>20204</v>
      </c>
      <c r="V9" s="1" t="str">
        <f t="shared" si="0"/>
        <v>Não Qualificado</v>
      </c>
      <c r="W9" s="1" t="str">
        <f>VLOOKUP(C9,Tabela5[#All],2,0)</f>
        <v>Intenção de Compra</v>
      </c>
      <c r="X9" s="14" t="str">
        <f t="shared" si="1"/>
        <v>Baixo</v>
      </c>
      <c r="Y9" s="17" t="str">
        <f t="shared" si="2"/>
        <v>Sem Compra</v>
      </c>
      <c r="Z9" s="17" t="str">
        <f t="shared" si="3"/>
        <v>Adulto</v>
      </c>
      <c r="AA9" s="17" t="str">
        <f>IF($AG$10&gt;=Tabela1[[#This Row],[investimento]]&gt;=$AG$11,"OK","Outlier")</f>
        <v>OK</v>
      </c>
      <c r="AB9" s="17" t="str">
        <f>IF($AG$17&gt;=Tabela1[[#This Row],[visitantes]]&gt;=$AG$18,"OK","Outlier")</f>
        <v>OK</v>
      </c>
      <c r="AC9" s="17" t="str">
        <f>IF($AG$24&gt;=Tabela1[[#This Row],[leads_gerados]]&gt;=$AG$25,"OK","Outlier")</f>
        <v>OK</v>
      </c>
      <c r="AD9" s="17" t="str">
        <f>IF($AG$31&gt;=Tabela1[[#This Row],[ltv_estimado]]&gt;=$AG$32,"OK","Outlier")</f>
        <v>OK</v>
      </c>
      <c r="AE9" s="17"/>
      <c r="AF9" t="s">
        <v>197</v>
      </c>
      <c r="AG9">
        <f>AG8-AG7</f>
        <v>8810.5</v>
      </c>
    </row>
    <row r="10" spans="1:34" x14ac:dyDescent="0.25">
      <c r="A10" s="1" t="s">
        <v>90</v>
      </c>
      <c r="B10" s="2">
        <v>45649</v>
      </c>
      <c r="C10" s="1" t="s">
        <v>31</v>
      </c>
      <c r="D10" s="1" t="s">
        <v>49</v>
      </c>
      <c r="E10" s="1" t="s">
        <v>23</v>
      </c>
      <c r="F10" s="1">
        <v>9173</v>
      </c>
      <c r="G10" s="1">
        <v>1862</v>
      </c>
      <c r="H10" s="1">
        <v>237</v>
      </c>
      <c r="I10" s="1" t="s">
        <v>24</v>
      </c>
      <c r="J10" s="1">
        <v>2</v>
      </c>
      <c r="K10" s="1" t="s">
        <v>25</v>
      </c>
      <c r="L10" s="1">
        <v>0</v>
      </c>
      <c r="M10" s="1">
        <v>0</v>
      </c>
      <c r="N10">
        <v>40</v>
      </c>
      <c r="O10" s="1" t="s">
        <v>42</v>
      </c>
      <c r="P10" s="1" t="s">
        <v>46</v>
      </c>
      <c r="Q10" s="1">
        <v>81</v>
      </c>
      <c r="R10" s="1" t="s">
        <v>47</v>
      </c>
      <c r="S10" s="1">
        <v>5787</v>
      </c>
      <c r="T10" s="5">
        <f>Tabela1[[#This Row],[investimento]]/Tabela1[[#This Row],[leads_gerados]]</f>
        <v>38.70464135021097</v>
      </c>
      <c r="U10" s="5">
        <f>VLOOKUP(Tabela1[[#This Row],[canal_aquisicao]],Tabela2[#All],2,0)</f>
        <v>20204</v>
      </c>
      <c r="V10" s="1" t="str">
        <f t="shared" si="0"/>
        <v>Qualificado</v>
      </c>
      <c r="W10" s="1" t="str">
        <f>VLOOKUP(C10,Tabela5[#All],2,0)</f>
        <v>Intenção de Compra</v>
      </c>
      <c r="X10" s="14" t="str">
        <f t="shared" si="1"/>
        <v>Alto</v>
      </c>
      <c r="Y10" s="17" t="str">
        <f t="shared" si="2"/>
        <v>Sem Compra</v>
      </c>
      <c r="Z10" s="17" t="str">
        <f t="shared" si="3"/>
        <v>Adulto</v>
      </c>
      <c r="AA10" s="17" t="str">
        <f>IF($AG$10&gt;=Tabela1[[#This Row],[investimento]]&gt;=$AG$11,"OK","Outlier")</f>
        <v>OK</v>
      </c>
      <c r="AB10" s="17" t="str">
        <f>IF($AG$17&gt;=Tabela1[[#This Row],[visitantes]]&gt;=$AG$18,"OK","Outlier")</f>
        <v>OK</v>
      </c>
      <c r="AC10" s="17" t="str">
        <f>IF($AG$24&gt;=Tabela1[[#This Row],[leads_gerados]]&gt;=$AG$25,"OK","Outlier")</f>
        <v>OK</v>
      </c>
      <c r="AD10" s="17" t="str">
        <f>IF($AG$31&gt;=Tabela1[[#This Row],[ltv_estimado]]&gt;=$AG$32,"OK","Outlier")</f>
        <v>OK</v>
      </c>
      <c r="AE10" s="17"/>
      <c r="AF10" t="s">
        <v>198</v>
      </c>
      <c r="AG10">
        <f>AG7-1.5*AG9</f>
        <v>-7686.5</v>
      </c>
    </row>
    <row r="11" spans="1:34" x14ac:dyDescent="0.25">
      <c r="A11" s="1" t="s">
        <v>94</v>
      </c>
      <c r="B11" s="2">
        <v>45436</v>
      </c>
      <c r="C11" s="1" t="s">
        <v>31</v>
      </c>
      <c r="D11" s="1" t="s">
        <v>49</v>
      </c>
      <c r="E11" s="1" t="s">
        <v>23</v>
      </c>
      <c r="F11" s="1">
        <v>774</v>
      </c>
      <c r="G11" s="1">
        <v>2351</v>
      </c>
      <c r="H11" s="1">
        <v>275</v>
      </c>
      <c r="I11" s="1" t="s">
        <v>24</v>
      </c>
      <c r="J11" s="1">
        <v>2</v>
      </c>
      <c r="K11" s="1" t="s">
        <v>25</v>
      </c>
      <c r="L11" s="1">
        <v>0</v>
      </c>
      <c r="M11" s="1">
        <v>0</v>
      </c>
      <c r="N11">
        <v>40</v>
      </c>
      <c r="O11" s="1" t="s">
        <v>42</v>
      </c>
      <c r="P11" s="1" t="s">
        <v>51</v>
      </c>
      <c r="Q11" s="1">
        <v>94</v>
      </c>
      <c r="R11" s="1" t="s">
        <v>29</v>
      </c>
      <c r="S11" s="1">
        <v>1915</v>
      </c>
      <c r="T11" s="5">
        <f>Tabela1[[#This Row],[investimento]]/Tabela1[[#This Row],[leads_gerados]]</f>
        <v>2.8145454545454545</v>
      </c>
      <c r="U11" s="5">
        <f>VLOOKUP(Tabela1[[#This Row],[canal_aquisicao]],Tabela2[#All],2,0)</f>
        <v>20204</v>
      </c>
      <c r="V11" s="1" t="str">
        <f t="shared" si="0"/>
        <v>Qualificado</v>
      </c>
      <c r="W11" s="1" t="str">
        <f>VLOOKUP(C11,Tabela5[#All],2,0)</f>
        <v>Intenção de Compra</v>
      </c>
      <c r="X11" s="14" t="str">
        <f t="shared" si="1"/>
        <v>Alto</v>
      </c>
      <c r="Y11" s="17" t="str">
        <f t="shared" si="2"/>
        <v>Sem Compra</v>
      </c>
      <c r="Z11" s="17" t="str">
        <f t="shared" si="3"/>
        <v>Adulto</v>
      </c>
      <c r="AA11" s="17" t="str">
        <f>IF($AG$10&gt;=Tabela1[[#This Row],[investimento]]&gt;=$AG$11,"OK","Outlier")</f>
        <v>OK</v>
      </c>
      <c r="AB11" s="17" t="str">
        <f>IF($AG$17&gt;=Tabela1[[#This Row],[visitantes]]&gt;=$AG$18,"OK","Outlier")</f>
        <v>OK</v>
      </c>
      <c r="AC11" s="17" t="str">
        <f>IF($AG$24&gt;=Tabela1[[#This Row],[leads_gerados]]&gt;=$AG$25,"OK","Outlier")</f>
        <v>OK</v>
      </c>
      <c r="AD11" s="17" t="str">
        <f>IF($AG$31&gt;=Tabela1[[#This Row],[ltv_estimado]]&gt;=$AG$32,"OK","Outlier")</f>
        <v>OK</v>
      </c>
      <c r="AE11" s="17"/>
      <c r="AF11" t="s">
        <v>199</v>
      </c>
      <c r="AG11">
        <f>AG8+1.5*AG9</f>
        <v>27555.5</v>
      </c>
    </row>
    <row r="12" spans="1:34" x14ac:dyDescent="0.25">
      <c r="A12" s="1" t="s">
        <v>99</v>
      </c>
      <c r="B12" s="2">
        <v>45621</v>
      </c>
      <c r="C12" s="1" t="s">
        <v>21</v>
      </c>
      <c r="D12" s="1" t="s">
        <v>49</v>
      </c>
      <c r="E12" s="1" t="s">
        <v>50</v>
      </c>
      <c r="F12" s="1">
        <v>19060</v>
      </c>
      <c r="G12" s="1">
        <v>2666</v>
      </c>
      <c r="H12" s="1">
        <v>211</v>
      </c>
      <c r="I12" s="1" t="s">
        <v>24</v>
      </c>
      <c r="J12" s="1">
        <v>26</v>
      </c>
      <c r="K12" s="1" t="s">
        <v>41</v>
      </c>
      <c r="L12" s="1">
        <v>145</v>
      </c>
      <c r="M12" s="1">
        <v>72.5</v>
      </c>
      <c r="N12">
        <v>38</v>
      </c>
      <c r="O12" s="1" t="s">
        <v>26</v>
      </c>
      <c r="P12" s="1" t="s">
        <v>51</v>
      </c>
      <c r="Q12" s="1">
        <v>12</v>
      </c>
      <c r="R12" s="1" t="s">
        <v>29</v>
      </c>
      <c r="S12" s="1">
        <v>392</v>
      </c>
      <c r="T12" s="5">
        <f>Tabela1[[#This Row],[investimento]]/Tabela1[[#This Row],[leads_gerados]]</f>
        <v>90.33175355450237</v>
      </c>
      <c r="U12" s="5">
        <f>VLOOKUP(Tabela1[[#This Row],[canal_aquisicao]],Tabela2[#All],2,0)</f>
        <v>18122.25</v>
      </c>
      <c r="V12" s="1" t="str">
        <f t="shared" si="0"/>
        <v>Não Qualificado</v>
      </c>
      <c r="W12" s="1" t="str">
        <f>VLOOKUP(C12,Tabela5[#All],2,0)</f>
        <v>Intenção de Compra</v>
      </c>
      <c r="X12" s="14" t="str">
        <f t="shared" si="1"/>
        <v>Baixo</v>
      </c>
      <c r="Y12" s="17" t="str">
        <f t="shared" si="2"/>
        <v>Baixo</v>
      </c>
      <c r="Z12" s="17" t="str">
        <f t="shared" si="3"/>
        <v>Adulto</v>
      </c>
      <c r="AA12" s="17" t="str">
        <f>IF($AG$10&gt;=Tabela1[[#This Row],[investimento]]&gt;=$AG$11,"OK","Outlier")</f>
        <v>OK</v>
      </c>
      <c r="AB12" s="17" t="str">
        <f>IF($AG$17&gt;=Tabela1[[#This Row],[visitantes]]&gt;=$AG$18,"OK","Outlier")</f>
        <v>OK</v>
      </c>
      <c r="AC12" s="17" t="str">
        <f>IF($AG$24&gt;=Tabela1[[#This Row],[leads_gerados]]&gt;=$AG$25,"OK","Outlier")</f>
        <v>OK</v>
      </c>
      <c r="AD12" s="17" t="str">
        <f>IF($AG$31&gt;=Tabela1[[#This Row],[ltv_estimado]]&gt;=$AG$32,"OK","Outlier")</f>
        <v>OK</v>
      </c>
      <c r="AE12" s="17"/>
    </row>
    <row r="13" spans="1:34" x14ac:dyDescent="0.25">
      <c r="A13" s="1" t="s">
        <v>104</v>
      </c>
      <c r="B13" s="2">
        <v>45472</v>
      </c>
      <c r="C13" s="1" t="s">
        <v>57</v>
      </c>
      <c r="D13" s="1" t="s">
        <v>49</v>
      </c>
      <c r="E13" s="1" t="s">
        <v>24</v>
      </c>
      <c r="F13" s="1">
        <v>6876</v>
      </c>
      <c r="G13" s="1">
        <v>4019</v>
      </c>
      <c r="H13" s="1">
        <v>69</v>
      </c>
      <c r="I13" s="1" t="s">
        <v>24</v>
      </c>
      <c r="J13" s="1">
        <v>18</v>
      </c>
      <c r="K13" s="1" t="s">
        <v>41</v>
      </c>
      <c r="L13" s="1">
        <v>285</v>
      </c>
      <c r="M13" s="1">
        <v>142.5</v>
      </c>
      <c r="N13">
        <v>38</v>
      </c>
      <c r="O13" s="1" t="s">
        <v>26</v>
      </c>
      <c r="P13" s="1" t="s">
        <v>46</v>
      </c>
      <c r="Q13" s="1">
        <v>54</v>
      </c>
      <c r="R13" s="1" t="s">
        <v>29</v>
      </c>
      <c r="S13" s="1">
        <v>4097</v>
      </c>
      <c r="T13" s="5">
        <f>Tabela1[[#This Row],[investimento]]/Tabela1[[#This Row],[leads_gerados]]</f>
        <v>99.652173913043484</v>
      </c>
      <c r="U13" s="5">
        <f>VLOOKUP(Tabela1[[#This Row],[canal_aquisicao]],Tabela2[#All],2,0)</f>
        <v>22207.375</v>
      </c>
      <c r="V13" s="1" t="str">
        <f t="shared" si="0"/>
        <v>Não Qualificado</v>
      </c>
      <c r="W13" s="1" t="str">
        <f>VLOOKUP(C13,Tabela5[#All],2,0)</f>
        <v>Intenção de Compra</v>
      </c>
      <c r="X13" s="14" t="str">
        <f t="shared" si="1"/>
        <v>Médio</v>
      </c>
      <c r="Y13" s="17" t="str">
        <f t="shared" si="2"/>
        <v>Baixo</v>
      </c>
      <c r="Z13" s="17" t="str">
        <f t="shared" si="3"/>
        <v>Adulto</v>
      </c>
      <c r="AA13" s="17" t="str">
        <f>IF($AG$10&gt;=Tabela1[[#This Row],[investimento]]&gt;=$AG$11,"OK","Outlier")</f>
        <v>OK</v>
      </c>
      <c r="AB13" s="17" t="str">
        <f>IF($AG$17&gt;=Tabela1[[#This Row],[visitantes]]&gt;=$AG$18,"OK","Outlier")</f>
        <v>OK</v>
      </c>
      <c r="AC13" s="17" t="str">
        <f>IF($AG$24&gt;=Tabela1[[#This Row],[leads_gerados]]&gt;=$AG$25,"OK","Outlier")</f>
        <v>OK</v>
      </c>
      <c r="AD13" s="17" t="str">
        <f>IF($AG$31&gt;=Tabela1[[#This Row],[ltv_estimado]]&gt;=$AG$32,"OK","Outlier")</f>
        <v>OK</v>
      </c>
      <c r="AE13" s="17"/>
      <c r="AF13" t="s">
        <v>201</v>
      </c>
    </row>
    <row r="14" spans="1:34" x14ac:dyDescent="0.25">
      <c r="A14" s="1" t="s">
        <v>101</v>
      </c>
      <c r="B14" s="2">
        <v>45573</v>
      </c>
      <c r="C14" s="1" t="s">
        <v>39</v>
      </c>
      <c r="D14" s="1" t="s">
        <v>49</v>
      </c>
      <c r="E14" s="1" t="s">
        <v>23</v>
      </c>
      <c r="F14" s="1">
        <v>11528</v>
      </c>
      <c r="G14" s="1">
        <v>3448</v>
      </c>
      <c r="H14" s="1">
        <v>261</v>
      </c>
      <c r="I14" s="1" t="s">
        <v>55</v>
      </c>
      <c r="J14" s="1">
        <v>33</v>
      </c>
      <c r="K14" s="1" t="s">
        <v>25</v>
      </c>
      <c r="L14" s="1">
        <v>0</v>
      </c>
      <c r="M14" s="1">
        <v>0</v>
      </c>
      <c r="N14">
        <v>40</v>
      </c>
      <c r="O14" s="1" t="s">
        <v>42</v>
      </c>
      <c r="P14" s="1" t="s">
        <v>51</v>
      </c>
      <c r="Q14" s="1">
        <v>60</v>
      </c>
      <c r="R14" s="1" t="s">
        <v>37</v>
      </c>
      <c r="S14" s="1">
        <v>2282</v>
      </c>
      <c r="T14" s="5">
        <f>Tabela1[[#This Row],[investimento]]/Tabela1[[#This Row],[leads_gerados]]</f>
        <v>44.168582375478927</v>
      </c>
      <c r="U14" s="5">
        <f>VLOOKUP(Tabela1[[#This Row],[canal_aquisicao]],Tabela2[#All],2,0)</f>
        <v>23256.714285714286</v>
      </c>
      <c r="V14" s="1" t="str">
        <f t="shared" si="0"/>
        <v>Não Qualificado</v>
      </c>
      <c r="W14" s="1" t="str">
        <f>VLOOKUP(C14,Tabela5[#All],2,0)</f>
        <v>Awareness</v>
      </c>
      <c r="X14" s="14" t="str">
        <f t="shared" si="1"/>
        <v>Médio</v>
      </c>
      <c r="Y14" s="17" t="str">
        <f t="shared" si="2"/>
        <v>Sem Compra</v>
      </c>
      <c r="Z14" s="17" t="str">
        <f t="shared" si="3"/>
        <v>Adulto</v>
      </c>
      <c r="AA14" s="17" t="str">
        <f>IF($AG$10&gt;=Tabela1[[#This Row],[investimento]]&gt;=$AG$11,"OK","Outlier")</f>
        <v>OK</v>
      </c>
      <c r="AB14" s="17" t="str">
        <f>IF($AG$17&gt;=Tabela1[[#This Row],[visitantes]]&gt;=$AG$18,"OK","Outlier")</f>
        <v>OK</v>
      </c>
      <c r="AC14" s="17" t="str">
        <f>IF($AG$24&gt;=Tabela1[[#This Row],[leads_gerados]]&gt;=$AG$25,"OK","Outlier")</f>
        <v>OK</v>
      </c>
      <c r="AD14" s="17" t="str">
        <f>IF($AG$31&gt;=Tabela1[[#This Row],[ltv_estimado]]&gt;=$AG$32,"OK","Outlier")</f>
        <v>OK</v>
      </c>
      <c r="AE14" s="17"/>
      <c r="AF14" t="s">
        <v>195</v>
      </c>
      <c r="AG14">
        <f>_xlfn.QUARTILE.EXC(G2:G181,1)</f>
        <v>1259.25</v>
      </c>
    </row>
    <row r="15" spans="1:34" x14ac:dyDescent="0.25">
      <c r="A15" s="1" t="s">
        <v>110</v>
      </c>
      <c r="B15" s="2">
        <v>45588</v>
      </c>
      <c r="C15" s="1" t="s">
        <v>21</v>
      </c>
      <c r="D15" s="1" t="s">
        <v>49</v>
      </c>
      <c r="E15" s="1" t="s">
        <v>24</v>
      </c>
      <c r="F15" s="1">
        <v>9926</v>
      </c>
      <c r="G15" s="1">
        <v>2117</v>
      </c>
      <c r="H15" s="1">
        <v>185</v>
      </c>
      <c r="I15" s="1" t="s">
        <v>58</v>
      </c>
      <c r="J15" s="1">
        <v>5</v>
      </c>
      <c r="K15" s="1" t="s">
        <v>25</v>
      </c>
      <c r="L15" s="1">
        <v>0</v>
      </c>
      <c r="M15" s="1">
        <v>0</v>
      </c>
      <c r="N15" s="1">
        <v>64</v>
      </c>
      <c r="O15" s="1" t="s">
        <v>42</v>
      </c>
      <c r="P15" s="1" t="s">
        <v>59</v>
      </c>
      <c r="Q15" s="1">
        <v>1</v>
      </c>
      <c r="R15" s="1" t="s">
        <v>37</v>
      </c>
      <c r="S15" s="1">
        <v>2882</v>
      </c>
      <c r="T15" s="5">
        <f>Tabela1[[#This Row],[investimento]]/Tabela1[[#This Row],[leads_gerados]]</f>
        <v>53.654054054054058</v>
      </c>
      <c r="U15" s="5">
        <f>VLOOKUP(Tabela1[[#This Row],[canal_aquisicao]],Tabela2[#All],2,0)</f>
        <v>18122.25</v>
      </c>
      <c r="V15" s="1" t="str">
        <f t="shared" si="0"/>
        <v>Não Qualificado</v>
      </c>
      <c r="W15" s="1" t="str">
        <f>VLOOKUP(C15,Tabela5[#All],2,0)</f>
        <v>Intenção de Compra</v>
      </c>
      <c r="X15" s="14" t="str">
        <f t="shared" si="1"/>
        <v>Baixo</v>
      </c>
      <c r="Y15" s="17" t="str">
        <f t="shared" si="2"/>
        <v>Sem Compra</v>
      </c>
      <c r="Z15" s="17" t="str">
        <f t="shared" si="3"/>
        <v>Sênior</v>
      </c>
      <c r="AA15" s="17" t="str">
        <f>IF($AG$10&gt;=Tabela1[[#This Row],[investimento]]&gt;=$AG$11,"OK","Outlier")</f>
        <v>OK</v>
      </c>
      <c r="AB15" s="17" t="str">
        <f>IF($AG$17&gt;=Tabela1[[#This Row],[visitantes]]&gt;=$AG$18,"OK","Outlier")</f>
        <v>OK</v>
      </c>
      <c r="AC15" s="17" t="str">
        <f>IF($AG$24&gt;=Tabela1[[#This Row],[leads_gerados]]&gt;=$AG$25,"OK","Outlier")</f>
        <v>OK</v>
      </c>
      <c r="AD15" s="17" t="str">
        <f>IF($AG$31&gt;=Tabela1[[#This Row],[ltv_estimado]]&gt;=$AG$32,"OK","Outlier")</f>
        <v>OK</v>
      </c>
      <c r="AE15" s="17"/>
      <c r="AF15" t="s">
        <v>196</v>
      </c>
      <c r="AG15">
        <f>_xlfn.QUARTILE.EXC(G2:G181,3)</f>
        <v>3731</v>
      </c>
    </row>
    <row r="16" spans="1:34" x14ac:dyDescent="0.25">
      <c r="A16" s="1" t="s">
        <v>89</v>
      </c>
      <c r="B16" s="2">
        <v>45457</v>
      </c>
      <c r="C16" s="1" t="s">
        <v>21</v>
      </c>
      <c r="D16" s="1" t="s">
        <v>49</v>
      </c>
      <c r="E16" s="1" t="s">
        <v>33</v>
      </c>
      <c r="F16" s="1">
        <v>5612</v>
      </c>
      <c r="G16" s="1">
        <v>999</v>
      </c>
      <c r="H16" s="1">
        <v>197</v>
      </c>
      <c r="I16" s="1" t="s">
        <v>34</v>
      </c>
      <c r="J16" s="1">
        <v>12</v>
      </c>
      <c r="K16" s="1" t="s">
        <v>41</v>
      </c>
      <c r="L16" s="1">
        <v>655</v>
      </c>
      <c r="M16" s="1">
        <v>218.33</v>
      </c>
      <c r="N16">
        <v>40</v>
      </c>
      <c r="O16" s="1" t="s">
        <v>42</v>
      </c>
      <c r="P16" s="1" t="s">
        <v>35</v>
      </c>
      <c r="Q16" s="1">
        <v>46</v>
      </c>
      <c r="R16" s="1" t="s">
        <v>37</v>
      </c>
      <c r="S16" s="1">
        <v>4798</v>
      </c>
      <c r="T16" s="5">
        <f>Tabela1[[#This Row],[investimento]]/Tabela1[[#This Row],[leads_gerados]]</f>
        <v>28.487309644670052</v>
      </c>
      <c r="U16" s="5">
        <f>VLOOKUP(Tabela1[[#This Row],[canal_aquisicao]],Tabela2[#All],2,0)</f>
        <v>18122.25</v>
      </c>
      <c r="V16" s="1" t="str">
        <f t="shared" si="0"/>
        <v>Não Qualificado</v>
      </c>
      <c r="W16" s="1" t="str">
        <f>VLOOKUP(C16,Tabela5[#All],2,0)</f>
        <v>Intenção de Compra</v>
      </c>
      <c r="X16" s="14" t="str">
        <f t="shared" si="1"/>
        <v>Médio</v>
      </c>
      <c r="Y16" s="17" t="str">
        <f t="shared" si="2"/>
        <v>Médio</v>
      </c>
      <c r="Z16" s="17" t="str">
        <f t="shared" si="3"/>
        <v>Adulto</v>
      </c>
      <c r="AA16" s="17" t="str">
        <f>IF($AG$10&gt;=Tabela1[[#This Row],[investimento]]&gt;=$AG$11,"OK","Outlier")</f>
        <v>OK</v>
      </c>
      <c r="AB16" s="17" t="str">
        <f>IF($AG$17&gt;=Tabela1[[#This Row],[visitantes]]&gt;=$AG$18,"OK","Outlier")</f>
        <v>OK</v>
      </c>
      <c r="AC16" s="17" t="str">
        <f>IF($AG$24&gt;=Tabela1[[#This Row],[leads_gerados]]&gt;=$AG$25,"OK","Outlier")</f>
        <v>OK</v>
      </c>
      <c r="AD16" s="17" t="str">
        <f>IF($AG$31&gt;=Tabela1[[#This Row],[ltv_estimado]]&gt;=$AG$32,"OK","Outlier")</f>
        <v>OK</v>
      </c>
      <c r="AE16" s="17"/>
      <c r="AF16" t="s">
        <v>197</v>
      </c>
      <c r="AG16">
        <f>AG15-AG14</f>
        <v>2471.75</v>
      </c>
    </row>
    <row r="17" spans="1:33" x14ac:dyDescent="0.25">
      <c r="A17" s="1" t="s">
        <v>114</v>
      </c>
      <c r="B17" s="2">
        <v>45601</v>
      </c>
      <c r="C17" s="1" t="s">
        <v>57</v>
      </c>
      <c r="D17" s="1" t="s">
        <v>49</v>
      </c>
      <c r="E17" s="1" t="s">
        <v>33</v>
      </c>
      <c r="F17" s="1">
        <v>690</v>
      </c>
      <c r="G17" s="1">
        <v>4189</v>
      </c>
      <c r="H17" s="1">
        <v>264</v>
      </c>
      <c r="I17" s="1" t="s">
        <v>63</v>
      </c>
      <c r="J17" s="1">
        <v>24</v>
      </c>
      <c r="K17" s="1" t="s">
        <v>25</v>
      </c>
      <c r="L17" s="1">
        <v>0</v>
      </c>
      <c r="M17" s="1">
        <v>0</v>
      </c>
      <c r="N17">
        <v>40</v>
      </c>
      <c r="O17" s="1" t="s">
        <v>42</v>
      </c>
      <c r="P17" s="1" t="s">
        <v>46</v>
      </c>
      <c r="Q17" s="1">
        <v>4</v>
      </c>
      <c r="R17" s="1" t="s">
        <v>37</v>
      </c>
      <c r="S17" s="1">
        <v>1161</v>
      </c>
      <c r="T17" s="5">
        <f>Tabela1[[#This Row],[investimento]]/Tabela1[[#This Row],[leads_gerados]]</f>
        <v>2.6136363636363638</v>
      </c>
      <c r="U17" s="5">
        <f>VLOOKUP(Tabela1[[#This Row],[canal_aquisicao]],Tabela2[#All],2,0)</f>
        <v>22207.375</v>
      </c>
      <c r="V17" s="1" t="str">
        <f t="shared" si="0"/>
        <v>Não Qualificado</v>
      </c>
      <c r="W17" s="1" t="str">
        <f>VLOOKUP(C17,Tabela5[#All],2,0)</f>
        <v>Intenção de Compra</v>
      </c>
      <c r="X17" s="14" t="str">
        <f t="shared" si="1"/>
        <v>Baixo</v>
      </c>
      <c r="Y17" s="17" t="str">
        <f t="shared" si="2"/>
        <v>Sem Compra</v>
      </c>
      <c r="Z17" s="17" t="str">
        <f t="shared" si="3"/>
        <v>Adulto</v>
      </c>
      <c r="AA17" s="17" t="str">
        <f>IF($AG$10&gt;=Tabela1[[#This Row],[investimento]]&gt;=$AG$11,"OK","Outlier")</f>
        <v>OK</v>
      </c>
      <c r="AB17" s="17" t="str">
        <f>IF($AG$17&gt;=Tabela1[[#This Row],[visitantes]]&gt;=$AG$18,"OK","Outlier")</f>
        <v>OK</v>
      </c>
      <c r="AC17" s="17" t="str">
        <f>IF($AG$24&gt;=Tabela1[[#This Row],[leads_gerados]]&gt;=$AG$25,"OK","Outlier")</f>
        <v>OK</v>
      </c>
      <c r="AD17" s="17" t="str">
        <f>IF($AG$31&gt;=Tabela1[[#This Row],[ltv_estimado]]&gt;=$AG$32,"OK","Outlier")</f>
        <v>OK</v>
      </c>
      <c r="AE17" s="17"/>
      <c r="AF17" t="s">
        <v>198</v>
      </c>
      <c r="AG17">
        <f>AG14-1.5*AG16</f>
        <v>-2448.375</v>
      </c>
    </row>
    <row r="18" spans="1:33" x14ac:dyDescent="0.25">
      <c r="A18" s="1" t="s">
        <v>116</v>
      </c>
      <c r="B18" s="2">
        <v>45397</v>
      </c>
      <c r="C18" s="1" t="s">
        <v>31</v>
      </c>
      <c r="D18" s="1" t="s">
        <v>49</v>
      </c>
      <c r="E18" s="1" t="s">
        <v>50</v>
      </c>
      <c r="F18" s="1">
        <v>12292</v>
      </c>
      <c r="G18" s="1">
        <v>1281</v>
      </c>
      <c r="H18" s="1">
        <v>175</v>
      </c>
      <c r="I18" s="1" t="s">
        <v>63</v>
      </c>
      <c r="J18" s="1">
        <v>30</v>
      </c>
      <c r="K18" s="1" t="s">
        <v>25</v>
      </c>
      <c r="L18" s="1">
        <v>0</v>
      </c>
      <c r="M18" s="1">
        <v>0</v>
      </c>
      <c r="N18">
        <v>38</v>
      </c>
      <c r="O18" s="1" t="s">
        <v>26</v>
      </c>
      <c r="P18" s="1" t="s">
        <v>59</v>
      </c>
      <c r="Q18" s="1">
        <v>36</v>
      </c>
      <c r="R18" s="1" t="s">
        <v>37</v>
      </c>
      <c r="S18" s="1">
        <v>4812</v>
      </c>
      <c r="T18" s="5">
        <f>Tabela1[[#This Row],[investimento]]/Tabela1[[#This Row],[leads_gerados]]</f>
        <v>70.239999999999995</v>
      </c>
      <c r="U18" s="5">
        <f>VLOOKUP(Tabela1[[#This Row],[canal_aquisicao]],Tabela2[#All],2,0)</f>
        <v>20204</v>
      </c>
      <c r="V18" s="1" t="str">
        <f t="shared" si="0"/>
        <v>Não Qualificado</v>
      </c>
      <c r="W18" s="1" t="str">
        <f>VLOOKUP(C18,Tabela5[#All],2,0)</f>
        <v>Intenção de Compra</v>
      </c>
      <c r="X18" s="14" t="str">
        <f t="shared" si="1"/>
        <v>Baixo</v>
      </c>
      <c r="Y18" s="17" t="str">
        <f t="shared" si="2"/>
        <v>Sem Compra</v>
      </c>
      <c r="Z18" s="17" t="str">
        <f t="shared" si="3"/>
        <v>Adulto</v>
      </c>
      <c r="AA18" s="17" t="str">
        <f>IF($AG$10&gt;=Tabela1[[#This Row],[investimento]]&gt;=$AG$11,"OK","Outlier")</f>
        <v>OK</v>
      </c>
      <c r="AB18" s="17" t="str">
        <f>IF($AG$17&gt;=Tabela1[[#This Row],[visitantes]]&gt;=$AG$18,"OK","Outlier")</f>
        <v>OK</v>
      </c>
      <c r="AC18" s="17" t="str">
        <f>IF($AG$24&gt;=Tabela1[[#This Row],[leads_gerados]]&gt;=$AG$25,"OK","Outlier")</f>
        <v>OK</v>
      </c>
      <c r="AD18" s="17" t="str">
        <f>IF($AG$31&gt;=Tabela1[[#This Row],[ltv_estimado]]&gt;=$AG$32,"OK","Outlier")</f>
        <v>OK</v>
      </c>
      <c r="AE18" s="17"/>
      <c r="AF18" t="s">
        <v>199</v>
      </c>
      <c r="AG18">
        <f>AG15+1.5*AG16</f>
        <v>7438.625</v>
      </c>
    </row>
    <row r="19" spans="1:33" x14ac:dyDescent="0.25">
      <c r="A19" s="1" t="s">
        <v>119</v>
      </c>
      <c r="B19" s="2">
        <v>45360</v>
      </c>
      <c r="C19" s="1" t="s">
        <v>39</v>
      </c>
      <c r="D19" s="1" t="s">
        <v>49</v>
      </c>
      <c r="E19" s="1" t="s">
        <v>50</v>
      </c>
      <c r="F19" s="1">
        <v>2222</v>
      </c>
      <c r="G19" s="1">
        <v>687</v>
      </c>
      <c r="H19" s="1">
        <v>223</v>
      </c>
      <c r="I19" s="1" t="s">
        <v>24</v>
      </c>
      <c r="J19" s="1">
        <v>19</v>
      </c>
      <c r="K19" s="1" t="s">
        <v>25</v>
      </c>
      <c r="L19" s="1">
        <v>0</v>
      </c>
      <c r="M19" s="1">
        <v>0</v>
      </c>
      <c r="N19" s="1">
        <v>19</v>
      </c>
      <c r="O19" s="1" t="s">
        <v>42</v>
      </c>
      <c r="P19" s="1" t="s">
        <v>51</v>
      </c>
      <c r="Q19" s="1">
        <v>61</v>
      </c>
      <c r="R19" s="1" t="s">
        <v>29</v>
      </c>
      <c r="S19" s="1">
        <v>5240</v>
      </c>
      <c r="T19" s="5">
        <f>Tabela1[[#This Row],[investimento]]/Tabela1[[#This Row],[leads_gerados]]</f>
        <v>9.9641255605381165</v>
      </c>
      <c r="U19" s="5">
        <f>VLOOKUP(Tabela1[[#This Row],[canal_aquisicao]],Tabela2[#All],2,0)</f>
        <v>23256.714285714286</v>
      </c>
      <c r="V19" s="1" t="str">
        <f t="shared" si="0"/>
        <v>Não Qualificado</v>
      </c>
      <c r="W19" s="1" t="str">
        <f>VLOOKUP(C19,Tabela5[#All],2,0)</f>
        <v>Awareness</v>
      </c>
      <c r="X19" s="14" t="str">
        <f t="shared" si="1"/>
        <v>Médio</v>
      </c>
      <c r="Y19" s="17" t="str">
        <f t="shared" si="2"/>
        <v>Sem Compra</v>
      </c>
      <c r="Z19" s="17" t="str">
        <f t="shared" si="3"/>
        <v>Jovem</v>
      </c>
      <c r="AA19" s="17" t="str">
        <f>IF($AG$10&gt;=Tabela1[[#This Row],[investimento]]&gt;=$AG$11,"OK","Outlier")</f>
        <v>OK</v>
      </c>
      <c r="AB19" s="17" t="str">
        <f>IF($AG$17&gt;=Tabela1[[#This Row],[visitantes]]&gt;=$AG$18,"OK","Outlier")</f>
        <v>OK</v>
      </c>
      <c r="AC19" s="17" t="str">
        <f>IF($AG$24&gt;=Tabela1[[#This Row],[leads_gerados]]&gt;=$AG$25,"OK","Outlier")</f>
        <v>OK</v>
      </c>
      <c r="AD19" s="17" t="str">
        <f>IF($AG$31&gt;=Tabela1[[#This Row],[ltv_estimado]]&gt;=$AG$32,"OK","Outlier")</f>
        <v>OK</v>
      </c>
      <c r="AE19" s="17"/>
    </row>
    <row r="20" spans="1:33" x14ac:dyDescent="0.25">
      <c r="A20" s="1" t="s">
        <v>124</v>
      </c>
      <c r="B20" s="2">
        <v>45433</v>
      </c>
      <c r="C20" s="1" t="s">
        <v>21</v>
      </c>
      <c r="D20" s="1" t="s">
        <v>49</v>
      </c>
      <c r="E20" s="1" t="s">
        <v>24</v>
      </c>
      <c r="F20" s="1">
        <v>18204</v>
      </c>
      <c r="G20" s="1">
        <v>2216</v>
      </c>
      <c r="H20" s="1">
        <v>249</v>
      </c>
      <c r="I20" s="1" t="s">
        <v>63</v>
      </c>
      <c r="J20" s="1">
        <v>4</v>
      </c>
      <c r="K20" s="1" t="s">
        <v>41</v>
      </c>
      <c r="L20" s="1">
        <v>377</v>
      </c>
      <c r="M20" s="1">
        <v>188.5</v>
      </c>
      <c r="N20">
        <v>40</v>
      </c>
      <c r="O20" s="1" t="s">
        <v>42</v>
      </c>
      <c r="P20" s="1" t="s">
        <v>35</v>
      </c>
      <c r="Q20" s="1">
        <v>71</v>
      </c>
      <c r="R20" s="1" t="s">
        <v>37</v>
      </c>
      <c r="S20" s="1">
        <v>1150</v>
      </c>
      <c r="T20" s="5">
        <f>Tabela1[[#This Row],[investimento]]/Tabela1[[#This Row],[leads_gerados]]</f>
        <v>73.108433734939766</v>
      </c>
      <c r="U20" s="5">
        <f>VLOOKUP(Tabela1[[#This Row],[canal_aquisicao]],Tabela2[#All],2,0)</f>
        <v>18122.25</v>
      </c>
      <c r="V20" s="1" t="str">
        <f t="shared" si="0"/>
        <v>Qualificado</v>
      </c>
      <c r="W20" s="1" t="str">
        <f>VLOOKUP(C20,Tabela5[#All],2,0)</f>
        <v>Intenção de Compra</v>
      </c>
      <c r="X20" s="14" t="str">
        <f t="shared" si="1"/>
        <v>Alto</v>
      </c>
      <c r="Y20" s="17" t="str">
        <f t="shared" si="2"/>
        <v>Médio</v>
      </c>
      <c r="Z20" s="17" t="str">
        <f t="shared" si="3"/>
        <v>Adulto</v>
      </c>
      <c r="AA20" s="17" t="str">
        <f>IF($AG$10&gt;=Tabela1[[#This Row],[investimento]]&gt;=$AG$11,"OK","Outlier")</f>
        <v>OK</v>
      </c>
      <c r="AB20" s="17" t="str">
        <f>IF($AG$17&gt;=Tabela1[[#This Row],[visitantes]]&gt;=$AG$18,"OK","Outlier")</f>
        <v>OK</v>
      </c>
      <c r="AC20" s="17" t="str">
        <f>IF($AG$24&gt;=Tabela1[[#This Row],[leads_gerados]]&gt;=$AG$25,"OK","Outlier")</f>
        <v>OK</v>
      </c>
      <c r="AD20" s="17" t="str">
        <f>IF($AG$31&gt;=Tabela1[[#This Row],[ltv_estimado]]&gt;=$AG$32,"OK","Outlier")</f>
        <v>OK</v>
      </c>
      <c r="AE20" s="17"/>
      <c r="AF20" t="s">
        <v>202</v>
      </c>
    </row>
    <row r="21" spans="1:33" ht="15.75" customHeight="1" x14ac:dyDescent="0.25">
      <c r="A21" s="1" t="s">
        <v>78</v>
      </c>
      <c r="B21" s="2">
        <v>45671</v>
      </c>
      <c r="C21" s="1" t="s">
        <v>39</v>
      </c>
      <c r="D21" s="1" t="s">
        <v>49</v>
      </c>
      <c r="E21" s="1" t="s">
        <v>23</v>
      </c>
      <c r="F21" s="1">
        <v>1054</v>
      </c>
      <c r="G21" s="1">
        <v>487</v>
      </c>
      <c r="H21" s="1">
        <v>86</v>
      </c>
      <c r="I21" s="1" t="s">
        <v>63</v>
      </c>
      <c r="J21" s="1">
        <v>33</v>
      </c>
      <c r="K21" s="1" t="s">
        <v>41</v>
      </c>
      <c r="L21" s="1">
        <v>381</v>
      </c>
      <c r="M21" s="1">
        <v>127</v>
      </c>
      <c r="N21" s="1">
        <v>38</v>
      </c>
      <c r="O21" s="1" t="s">
        <v>26</v>
      </c>
      <c r="P21" s="1" t="s">
        <v>46</v>
      </c>
      <c r="Q21" s="1">
        <v>44</v>
      </c>
      <c r="R21" s="1" t="s">
        <v>47</v>
      </c>
      <c r="S21" s="1">
        <v>419</v>
      </c>
      <c r="T21" s="5">
        <f>Tabela1[[#This Row],[investimento]]/Tabela1[[#This Row],[leads_gerados]]</f>
        <v>12.255813953488373</v>
      </c>
      <c r="U21" s="5">
        <f>VLOOKUP(Tabela1[[#This Row],[canal_aquisicao]],Tabela2[#All],2,0)</f>
        <v>23256.714285714286</v>
      </c>
      <c r="V21" s="1" t="str">
        <f t="shared" si="0"/>
        <v>Não Qualificado</v>
      </c>
      <c r="W21" s="1" t="str">
        <f>VLOOKUP(C21,Tabela5[#All],2,0)</f>
        <v>Awareness</v>
      </c>
      <c r="X21" s="14" t="str">
        <f t="shared" si="1"/>
        <v>Médio</v>
      </c>
      <c r="Y21" s="17" t="str">
        <f t="shared" si="2"/>
        <v>Baixo</v>
      </c>
      <c r="Z21" s="17" t="str">
        <f t="shared" si="3"/>
        <v>Adulto</v>
      </c>
      <c r="AA21" s="17" t="str">
        <f>IF($AG$10&gt;=Tabela1[[#This Row],[investimento]]&gt;=$AG$11,"OK","Outlier")</f>
        <v>OK</v>
      </c>
      <c r="AB21" s="17" t="str">
        <f>IF($AG$17&gt;=Tabela1[[#This Row],[visitantes]]&gt;=$AG$18,"OK","Outlier")</f>
        <v>OK</v>
      </c>
      <c r="AC21" s="17" t="str">
        <f>IF($AG$24&gt;=Tabela1[[#This Row],[leads_gerados]]&gt;=$AG$25,"OK","Outlier")</f>
        <v>OK</v>
      </c>
      <c r="AD21" s="17" t="str">
        <f>IF($AG$31&gt;=Tabela1[[#This Row],[ltv_estimado]]&gt;=$AG$32,"OK","Outlier")</f>
        <v>OK</v>
      </c>
      <c r="AE21" s="17"/>
      <c r="AF21" t="s">
        <v>195</v>
      </c>
      <c r="AG21">
        <f>_xlfn.QUARTILE.EXC(H2:H181,1)</f>
        <v>77.25</v>
      </c>
    </row>
    <row r="22" spans="1:33" ht="15.75" customHeight="1" x14ac:dyDescent="0.25">
      <c r="A22" s="1" t="s">
        <v>132</v>
      </c>
      <c r="B22" s="2">
        <v>45624</v>
      </c>
      <c r="C22" s="1" t="s">
        <v>21</v>
      </c>
      <c r="D22" s="1" t="s">
        <v>49</v>
      </c>
      <c r="E22" s="1" t="s">
        <v>50</v>
      </c>
      <c r="F22" s="1">
        <v>14532</v>
      </c>
      <c r="G22" s="1">
        <v>2067</v>
      </c>
      <c r="H22" s="1">
        <v>284</v>
      </c>
      <c r="I22" s="1" t="s">
        <v>55</v>
      </c>
      <c r="J22" s="1">
        <v>8</v>
      </c>
      <c r="K22" s="1" t="s">
        <v>41</v>
      </c>
      <c r="L22" s="1">
        <v>188</v>
      </c>
      <c r="M22" s="1">
        <v>62.67</v>
      </c>
      <c r="N22">
        <v>38</v>
      </c>
      <c r="O22" s="1" t="s">
        <v>26</v>
      </c>
      <c r="P22" s="1" t="s">
        <v>46</v>
      </c>
      <c r="Q22" s="1">
        <v>89</v>
      </c>
      <c r="R22" s="1" t="s">
        <v>37</v>
      </c>
      <c r="S22" s="1">
        <v>5649</v>
      </c>
      <c r="T22" s="5">
        <f>Tabela1[[#This Row],[investimento]]/Tabela1[[#This Row],[leads_gerados]]</f>
        <v>51.16901408450704</v>
      </c>
      <c r="U22" s="5">
        <f>VLOOKUP(Tabela1[[#This Row],[canal_aquisicao]],Tabela2[#All],2,0)</f>
        <v>18122.25</v>
      </c>
      <c r="V22" s="1" t="str">
        <f t="shared" si="0"/>
        <v>Qualificado</v>
      </c>
      <c r="W22" s="1" t="str">
        <f>VLOOKUP(C22,Tabela5[#All],2,0)</f>
        <v>Intenção de Compra</v>
      </c>
      <c r="X22" s="14" t="str">
        <f t="shared" si="1"/>
        <v>Alto</v>
      </c>
      <c r="Y22" s="17" t="str">
        <f t="shared" si="2"/>
        <v>Baixo</v>
      </c>
      <c r="Z22" s="17" t="str">
        <f t="shared" si="3"/>
        <v>Adulto</v>
      </c>
      <c r="AA22" s="17" t="str">
        <f>IF($AG$10&gt;=Tabela1[[#This Row],[investimento]]&gt;=$AG$11,"OK","Outlier")</f>
        <v>OK</v>
      </c>
      <c r="AB22" s="17" t="str">
        <f>IF($AG$17&gt;=Tabela1[[#This Row],[visitantes]]&gt;=$AG$18,"OK","Outlier")</f>
        <v>OK</v>
      </c>
      <c r="AC22" s="17" t="str">
        <f>IF($AG$24&gt;=Tabela1[[#This Row],[leads_gerados]]&gt;=$AG$25,"OK","Outlier")</f>
        <v>OK</v>
      </c>
      <c r="AD22" s="17" t="str">
        <f>IF($AG$31&gt;=Tabela1[[#This Row],[ltv_estimado]]&gt;=$AG$32,"OK","Outlier")</f>
        <v>OK</v>
      </c>
      <c r="AE22" s="17"/>
      <c r="AF22" t="s">
        <v>196</v>
      </c>
      <c r="AG22">
        <f>_xlfn.QUARTILE.EXC(H2:H181,3)</f>
        <v>227.75</v>
      </c>
    </row>
    <row r="23" spans="1:33" ht="15.75" customHeight="1" x14ac:dyDescent="0.25">
      <c r="A23" s="1" t="s">
        <v>75</v>
      </c>
      <c r="B23" s="2">
        <v>45671</v>
      </c>
      <c r="C23" s="1" t="s">
        <v>21</v>
      </c>
      <c r="D23" s="1" t="s">
        <v>49</v>
      </c>
      <c r="E23" s="1" t="s">
        <v>23</v>
      </c>
      <c r="F23" s="1">
        <v>11263</v>
      </c>
      <c r="G23" s="1">
        <v>1036</v>
      </c>
      <c r="H23" s="1">
        <v>63</v>
      </c>
      <c r="I23" s="1" t="s">
        <v>24</v>
      </c>
      <c r="J23" s="1">
        <v>7</v>
      </c>
      <c r="K23" s="1" t="s">
        <v>25</v>
      </c>
      <c r="L23" s="1">
        <v>0</v>
      </c>
      <c r="M23" s="1">
        <v>0</v>
      </c>
      <c r="N23">
        <v>40</v>
      </c>
      <c r="O23" s="1" t="s">
        <v>42</v>
      </c>
      <c r="P23" s="1" t="s">
        <v>46</v>
      </c>
      <c r="Q23" s="1">
        <v>63</v>
      </c>
      <c r="R23" s="1" t="s">
        <v>47</v>
      </c>
      <c r="S23" s="1">
        <v>4771</v>
      </c>
      <c r="T23" s="5">
        <f>Tabela1[[#This Row],[investimento]]/Tabela1[[#This Row],[leads_gerados]]</f>
        <v>178.77777777777777</v>
      </c>
      <c r="U23" s="5">
        <f>VLOOKUP(Tabela1[[#This Row],[canal_aquisicao]],Tabela2[#All],2,0)</f>
        <v>18122.25</v>
      </c>
      <c r="V23" s="1" t="str">
        <f t="shared" si="0"/>
        <v>Não Qualificado</v>
      </c>
      <c r="W23" s="1" t="str">
        <f>VLOOKUP(C23,Tabela5[#All],2,0)</f>
        <v>Intenção de Compra</v>
      </c>
      <c r="X23" s="14" t="str">
        <f t="shared" si="1"/>
        <v>Médio</v>
      </c>
      <c r="Y23" s="17" t="str">
        <f t="shared" si="2"/>
        <v>Sem Compra</v>
      </c>
      <c r="Z23" s="17" t="str">
        <f t="shared" si="3"/>
        <v>Adulto</v>
      </c>
      <c r="AA23" s="17" t="str">
        <f>IF($AG$10&gt;=Tabela1[[#This Row],[investimento]]&gt;=$AG$11,"OK","Outlier")</f>
        <v>OK</v>
      </c>
      <c r="AB23" s="17" t="str">
        <f>IF($AG$17&gt;=Tabela1[[#This Row],[visitantes]]&gt;=$AG$18,"OK","Outlier")</f>
        <v>OK</v>
      </c>
      <c r="AC23" s="17" t="str">
        <f>IF($AG$24&gt;=Tabela1[[#This Row],[leads_gerados]]&gt;=$AG$25,"OK","Outlier")</f>
        <v>OK</v>
      </c>
      <c r="AD23" s="17" t="str">
        <f>IF($AG$31&gt;=Tabela1[[#This Row],[ltv_estimado]]&gt;=$AG$32,"OK","Outlier")</f>
        <v>OK</v>
      </c>
      <c r="AE23" s="17"/>
      <c r="AF23" t="s">
        <v>197</v>
      </c>
      <c r="AG23">
        <f>AG22-AG21</f>
        <v>150.5</v>
      </c>
    </row>
    <row r="24" spans="1:33" ht="15.75" customHeight="1" x14ac:dyDescent="0.25">
      <c r="A24" s="1" t="s">
        <v>134</v>
      </c>
      <c r="B24" s="2">
        <v>45725</v>
      </c>
      <c r="C24" s="1" t="s">
        <v>57</v>
      </c>
      <c r="D24" s="1" t="s">
        <v>49</v>
      </c>
      <c r="E24" s="1" t="s">
        <v>33</v>
      </c>
      <c r="F24" s="1">
        <v>14999</v>
      </c>
      <c r="G24" s="1">
        <v>4860</v>
      </c>
      <c r="H24" s="1">
        <v>184</v>
      </c>
      <c r="I24" s="1" t="s">
        <v>63</v>
      </c>
      <c r="J24" s="1">
        <v>28</v>
      </c>
      <c r="K24" s="1" t="s">
        <v>41</v>
      </c>
      <c r="L24" s="1">
        <v>765</v>
      </c>
      <c r="M24" s="1">
        <v>255</v>
      </c>
      <c r="N24">
        <v>40</v>
      </c>
      <c r="O24" s="1" t="s">
        <v>42</v>
      </c>
      <c r="P24" s="1" t="s">
        <v>46</v>
      </c>
      <c r="Q24" s="1">
        <v>93</v>
      </c>
      <c r="R24" s="1" t="s">
        <v>47</v>
      </c>
      <c r="S24" s="1">
        <v>2100</v>
      </c>
      <c r="T24" s="5">
        <f>Tabela1[[#This Row],[investimento]]/Tabela1[[#This Row],[leads_gerados]]</f>
        <v>81.516304347826093</v>
      </c>
      <c r="U24" s="5">
        <f>VLOOKUP(Tabela1[[#This Row],[canal_aquisicao]],Tabela2[#All],2,0)</f>
        <v>22207.375</v>
      </c>
      <c r="V24" s="1" t="str">
        <f t="shared" si="0"/>
        <v>Qualificado</v>
      </c>
      <c r="W24" s="1" t="str">
        <f>VLOOKUP(C24,Tabela5[#All],2,0)</f>
        <v>Intenção de Compra</v>
      </c>
      <c r="X24" s="14" t="str">
        <f t="shared" si="1"/>
        <v>Alto</v>
      </c>
      <c r="Y24" s="17" t="str">
        <f t="shared" si="2"/>
        <v>Médio</v>
      </c>
      <c r="Z24" s="17" t="str">
        <f t="shared" si="3"/>
        <v>Adulto</v>
      </c>
      <c r="AA24" s="17" t="str">
        <f>IF($AG$10&gt;=Tabela1[[#This Row],[investimento]]&gt;=$AG$11,"OK","Outlier")</f>
        <v>OK</v>
      </c>
      <c r="AB24" s="17" t="str">
        <f>IF($AG$17&gt;=Tabela1[[#This Row],[visitantes]]&gt;=$AG$18,"OK","Outlier")</f>
        <v>OK</v>
      </c>
      <c r="AC24" s="17" t="str">
        <f>IF($AG$24&gt;=Tabela1[[#This Row],[leads_gerados]]&gt;=$AG$25,"OK","Outlier")</f>
        <v>OK</v>
      </c>
      <c r="AD24" s="17" t="str">
        <f>IF($AG$31&gt;=Tabela1[[#This Row],[ltv_estimado]]&gt;=$AG$32,"OK","Outlier")</f>
        <v>OK</v>
      </c>
      <c r="AE24" s="17"/>
      <c r="AF24" t="s">
        <v>198</v>
      </c>
      <c r="AG24">
        <f>AG21-1.5*AG23</f>
        <v>-148.5</v>
      </c>
    </row>
    <row r="25" spans="1:33" ht="15.75" customHeight="1" x14ac:dyDescent="0.25">
      <c r="A25" s="1" t="s">
        <v>120</v>
      </c>
      <c r="B25" s="2">
        <v>45555</v>
      </c>
      <c r="C25" s="1" t="s">
        <v>54</v>
      </c>
      <c r="D25" s="1" t="s">
        <v>49</v>
      </c>
      <c r="E25" s="1" t="s">
        <v>50</v>
      </c>
      <c r="F25" s="1">
        <v>15274</v>
      </c>
      <c r="G25" s="1">
        <v>2197</v>
      </c>
      <c r="H25" s="1">
        <v>173</v>
      </c>
      <c r="I25" s="1" t="s">
        <v>34</v>
      </c>
      <c r="J25" s="1">
        <v>16</v>
      </c>
      <c r="K25" s="1" t="s">
        <v>25</v>
      </c>
      <c r="L25" s="1">
        <v>0</v>
      </c>
      <c r="M25" s="1">
        <v>0</v>
      </c>
      <c r="N25" s="1">
        <v>26</v>
      </c>
      <c r="O25" s="1" t="s">
        <v>26</v>
      </c>
      <c r="P25" s="1" t="s">
        <v>46</v>
      </c>
      <c r="Q25" s="1">
        <v>6</v>
      </c>
      <c r="R25" s="1" t="s">
        <v>29</v>
      </c>
      <c r="S25" s="1">
        <v>2148</v>
      </c>
      <c r="T25" s="5">
        <f>Tabela1[[#This Row],[investimento]]/Tabela1[[#This Row],[leads_gerados]]</f>
        <v>88.289017341040463</v>
      </c>
      <c r="U25" s="5">
        <f>VLOOKUP(Tabela1[[#This Row],[canal_aquisicao]],Tabela2[#All],2,0)</f>
        <v>23467.142857142859</v>
      </c>
      <c r="V25" s="1" t="str">
        <f t="shared" si="0"/>
        <v>Não Qualificado</v>
      </c>
      <c r="W25" s="1" t="str">
        <f>VLOOKUP(C25,Tabela5[#All],2,0)</f>
        <v>Awareness</v>
      </c>
      <c r="X25" s="14" t="str">
        <f t="shared" si="1"/>
        <v>Baixo</v>
      </c>
      <c r="Y25" s="17" t="str">
        <f t="shared" si="2"/>
        <v>Sem Compra</v>
      </c>
      <c r="Z25" s="17" t="str">
        <f t="shared" si="3"/>
        <v>Adulto</v>
      </c>
      <c r="AA25" s="17" t="str">
        <f>IF($AG$10&gt;=Tabela1[[#This Row],[investimento]]&gt;=$AG$11,"OK","Outlier")</f>
        <v>OK</v>
      </c>
      <c r="AB25" s="17" t="str">
        <f>IF($AG$17&gt;=Tabela1[[#This Row],[visitantes]]&gt;=$AG$18,"OK","Outlier")</f>
        <v>OK</v>
      </c>
      <c r="AC25" s="17" t="str">
        <f>IF($AG$24&gt;=Tabela1[[#This Row],[leads_gerados]]&gt;=$AG$25,"OK","Outlier")</f>
        <v>OK</v>
      </c>
      <c r="AD25" s="17" t="str">
        <f>IF($AG$31&gt;=Tabela1[[#This Row],[ltv_estimado]]&gt;=$AG$32,"OK","Outlier")</f>
        <v>OK</v>
      </c>
      <c r="AE25" s="17"/>
      <c r="AF25" t="s">
        <v>199</v>
      </c>
      <c r="AG25">
        <f>AG22+1.5*AG23</f>
        <v>453.5</v>
      </c>
    </row>
    <row r="26" spans="1:33" ht="15.75" customHeight="1" x14ac:dyDescent="0.25">
      <c r="A26" s="1" t="s">
        <v>136</v>
      </c>
      <c r="B26" s="2">
        <v>45412</v>
      </c>
      <c r="C26" s="1" t="s">
        <v>31</v>
      </c>
      <c r="D26" s="1" t="s">
        <v>49</v>
      </c>
      <c r="E26" s="1" t="s">
        <v>23</v>
      </c>
      <c r="F26" s="1">
        <v>13866</v>
      </c>
      <c r="G26" s="1">
        <v>3186</v>
      </c>
      <c r="H26" s="1">
        <v>300</v>
      </c>
      <c r="I26" s="1" t="s">
        <v>24</v>
      </c>
      <c r="J26" s="1">
        <v>14</v>
      </c>
      <c r="K26" s="1" t="s">
        <v>25</v>
      </c>
      <c r="L26" s="1">
        <v>0</v>
      </c>
      <c r="M26" s="1">
        <v>0</v>
      </c>
      <c r="N26">
        <v>38</v>
      </c>
      <c r="O26" s="1" t="s">
        <v>26</v>
      </c>
      <c r="P26" s="1" t="s">
        <v>46</v>
      </c>
      <c r="Q26" s="1">
        <v>58</v>
      </c>
      <c r="R26" s="1" t="s">
        <v>29</v>
      </c>
      <c r="S26" s="1">
        <v>2908</v>
      </c>
      <c r="T26" s="5">
        <f>Tabela1[[#This Row],[investimento]]/Tabela1[[#This Row],[leads_gerados]]</f>
        <v>46.22</v>
      </c>
      <c r="U26" s="5">
        <f>VLOOKUP(Tabela1[[#This Row],[canal_aquisicao]],Tabela2[#All],2,0)</f>
        <v>20204</v>
      </c>
      <c r="V26" s="1" t="str">
        <f t="shared" si="0"/>
        <v>Não Qualificado</v>
      </c>
      <c r="W26" s="1" t="str">
        <f>VLOOKUP(C26,Tabela5[#All],2,0)</f>
        <v>Intenção de Compra</v>
      </c>
      <c r="X26" s="14" t="str">
        <f t="shared" si="1"/>
        <v>Médio</v>
      </c>
      <c r="Y26" s="17" t="str">
        <f t="shared" si="2"/>
        <v>Sem Compra</v>
      </c>
      <c r="Z26" s="17" t="str">
        <f t="shared" si="3"/>
        <v>Adulto</v>
      </c>
      <c r="AA26" s="17" t="str">
        <f>IF($AG$10&gt;=Tabela1[[#This Row],[investimento]]&gt;=$AG$11,"OK","Outlier")</f>
        <v>OK</v>
      </c>
      <c r="AB26" s="17" t="str">
        <f>IF($AG$17&gt;=Tabela1[[#This Row],[visitantes]]&gt;=$AG$18,"OK","Outlier")</f>
        <v>OK</v>
      </c>
      <c r="AC26" s="17" t="str">
        <f>IF($AG$24&gt;=Tabela1[[#This Row],[leads_gerados]]&gt;=$AG$25,"OK","Outlier")</f>
        <v>OK</v>
      </c>
      <c r="AD26" s="17" t="str">
        <f>IF($AG$31&gt;=Tabela1[[#This Row],[ltv_estimado]]&gt;=$AG$32,"OK","Outlier")</f>
        <v>OK</v>
      </c>
      <c r="AE26" s="17"/>
    </row>
    <row r="27" spans="1:33" ht="15.75" customHeight="1" x14ac:dyDescent="0.25">
      <c r="A27" s="1" t="s">
        <v>141</v>
      </c>
      <c r="B27" s="2">
        <v>45388</v>
      </c>
      <c r="C27" s="1" t="s">
        <v>54</v>
      </c>
      <c r="D27" s="1" t="s">
        <v>49</v>
      </c>
      <c r="E27" s="1" t="s">
        <v>23</v>
      </c>
      <c r="F27" s="1">
        <v>14240</v>
      </c>
      <c r="G27" s="1">
        <v>3857</v>
      </c>
      <c r="H27" s="1">
        <v>167</v>
      </c>
      <c r="I27" s="1" t="s">
        <v>24</v>
      </c>
      <c r="J27" s="1">
        <v>26</v>
      </c>
      <c r="K27" s="1" t="s">
        <v>25</v>
      </c>
      <c r="L27" s="1">
        <v>0</v>
      </c>
      <c r="M27" s="1">
        <v>0</v>
      </c>
      <c r="N27">
        <v>40</v>
      </c>
      <c r="O27" s="1" t="s">
        <v>42</v>
      </c>
      <c r="P27" s="1" t="s">
        <v>59</v>
      </c>
      <c r="Q27" s="1">
        <v>32</v>
      </c>
      <c r="R27" s="1" t="s">
        <v>29</v>
      </c>
      <c r="S27" s="1">
        <v>320</v>
      </c>
      <c r="T27" s="5">
        <f>Tabela1[[#This Row],[investimento]]/Tabela1[[#This Row],[leads_gerados]]</f>
        <v>85.269461077844312</v>
      </c>
      <c r="U27" s="5">
        <f>VLOOKUP(Tabela1[[#This Row],[canal_aquisicao]],Tabela2[#All],2,0)</f>
        <v>23467.142857142859</v>
      </c>
      <c r="V27" s="1" t="str">
        <f t="shared" si="0"/>
        <v>Não Qualificado</v>
      </c>
      <c r="W27" s="1" t="str">
        <f>VLOOKUP(C27,Tabela5[#All],2,0)</f>
        <v>Awareness</v>
      </c>
      <c r="X27" s="14" t="str">
        <f t="shared" si="1"/>
        <v>Baixo</v>
      </c>
      <c r="Y27" s="17" t="str">
        <f t="shared" si="2"/>
        <v>Sem Compra</v>
      </c>
      <c r="Z27" s="17" t="str">
        <f t="shared" si="3"/>
        <v>Adulto</v>
      </c>
      <c r="AA27" s="17" t="str">
        <f>IF($AG$10&gt;=Tabela1[[#This Row],[investimento]]&gt;=$AG$11,"OK","Outlier")</f>
        <v>OK</v>
      </c>
      <c r="AB27" s="17" t="str">
        <f>IF($AG$17&gt;=Tabela1[[#This Row],[visitantes]]&gt;=$AG$18,"OK","Outlier")</f>
        <v>OK</v>
      </c>
      <c r="AC27" s="17" t="str">
        <f>IF($AG$24&gt;=Tabela1[[#This Row],[leads_gerados]]&gt;=$AG$25,"OK","Outlier")</f>
        <v>OK</v>
      </c>
      <c r="AD27" s="17" t="str">
        <f>IF($AG$31&gt;=Tabela1[[#This Row],[ltv_estimado]]&gt;=$AG$32,"OK","Outlier")</f>
        <v>OK</v>
      </c>
      <c r="AE27" s="17"/>
      <c r="AF27" t="s">
        <v>203</v>
      </c>
    </row>
    <row r="28" spans="1:33" ht="15.75" customHeight="1" x14ac:dyDescent="0.25">
      <c r="A28" s="1" t="s">
        <v>142</v>
      </c>
      <c r="B28" s="2">
        <v>45718</v>
      </c>
      <c r="C28" s="1" t="s">
        <v>39</v>
      </c>
      <c r="D28" s="1" t="s">
        <v>49</v>
      </c>
      <c r="E28" s="1" t="s">
        <v>33</v>
      </c>
      <c r="F28" s="1">
        <v>906</v>
      </c>
      <c r="G28" s="1">
        <v>634</v>
      </c>
      <c r="H28" s="1">
        <v>227</v>
      </c>
      <c r="I28" s="1" t="s">
        <v>55</v>
      </c>
      <c r="J28" s="1">
        <v>8</v>
      </c>
      <c r="K28" s="1" t="s">
        <v>25</v>
      </c>
      <c r="L28" s="1">
        <v>0</v>
      </c>
      <c r="M28" s="1">
        <v>0</v>
      </c>
      <c r="N28" s="1">
        <v>32</v>
      </c>
      <c r="O28" s="1" t="s">
        <v>26</v>
      </c>
      <c r="P28" s="1" t="s">
        <v>46</v>
      </c>
      <c r="Q28" s="1">
        <v>40</v>
      </c>
      <c r="R28" s="1" t="s">
        <v>29</v>
      </c>
      <c r="S28" s="1">
        <v>5181</v>
      </c>
      <c r="T28" s="5">
        <f>Tabela1[[#This Row],[investimento]]/Tabela1[[#This Row],[leads_gerados]]</f>
        <v>3.9911894273127753</v>
      </c>
      <c r="U28" s="5">
        <f>VLOOKUP(Tabela1[[#This Row],[canal_aquisicao]],Tabela2[#All],2,0)</f>
        <v>23256.714285714286</v>
      </c>
      <c r="V28" s="1" t="str">
        <f t="shared" si="0"/>
        <v>Não Qualificado</v>
      </c>
      <c r="W28" s="1" t="str">
        <f>VLOOKUP(C28,Tabela5[#All],2,0)</f>
        <v>Awareness</v>
      </c>
      <c r="X28" s="14" t="str">
        <f t="shared" si="1"/>
        <v>Médio</v>
      </c>
      <c r="Y28" s="17" t="str">
        <f t="shared" si="2"/>
        <v>Sem Compra</v>
      </c>
      <c r="Z28" s="17" t="str">
        <f t="shared" si="3"/>
        <v>Adulto</v>
      </c>
      <c r="AA28" s="17" t="str">
        <f>IF($AG$10&gt;=Tabela1[[#This Row],[investimento]]&gt;=$AG$11,"OK","Outlier")</f>
        <v>OK</v>
      </c>
      <c r="AB28" s="17" t="str">
        <f>IF($AG$17&gt;=Tabela1[[#This Row],[visitantes]]&gt;=$AG$18,"OK","Outlier")</f>
        <v>OK</v>
      </c>
      <c r="AC28" s="17" t="str">
        <f>IF($AG$24&gt;=Tabela1[[#This Row],[leads_gerados]]&gt;=$AG$25,"OK","Outlier")</f>
        <v>OK</v>
      </c>
      <c r="AD28" s="17" t="str">
        <f>IF($AG$31&gt;=Tabela1[[#This Row],[ltv_estimado]]&gt;=$AG$32,"OK","Outlier")</f>
        <v>OK</v>
      </c>
      <c r="AE28" s="17"/>
      <c r="AF28" t="s">
        <v>195</v>
      </c>
      <c r="AG28">
        <f>_xlfn.QUARTILE.EXC(S:S,1)</f>
        <v>1949.75</v>
      </c>
    </row>
    <row r="29" spans="1:33" ht="15.75" customHeight="1" x14ac:dyDescent="0.25">
      <c r="A29" s="1" t="s">
        <v>106</v>
      </c>
      <c r="B29" s="2">
        <v>45635</v>
      </c>
      <c r="C29" s="1" t="s">
        <v>39</v>
      </c>
      <c r="D29" s="1" t="s">
        <v>49</v>
      </c>
      <c r="E29" s="1" t="s">
        <v>23</v>
      </c>
      <c r="F29" s="1">
        <v>4652</v>
      </c>
      <c r="G29" s="1">
        <v>114</v>
      </c>
      <c r="H29" s="1">
        <v>172</v>
      </c>
      <c r="I29" s="1" t="s">
        <v>40</v>
      </c>
      <c r="J29" s="1">
        <v>38</v>
      </c>
      <c r="K29" s="1" t="s">
        <v>25</v>
      </c>
      <c r="L29" s="1">
        <v>0</v>
      </c>
      <c r="M29" s="1">
        <v>0</v>
      </c>
      <c r="N29">
        <v>38</v>
      </c>
      <c r="O29" s="1" t="s">
        <v>26</v>
      </c>
      <c r="P29" s="1" t="s">
        <v>59</v>
      </c>
      <c r="Q29" s="1">
        <v>7</v>
      </c>
      <c r="R29" s="1" t="s">
        <v>29</v>
      </c>
      <c r="S29" s="1">
        <v>2076</v>
      </c>
      <c r="T29" s="5">
        <f>Tabela1[[#This Row],[investimento]]/Tabela1[[#This Row],[leads_gerados]]</f>
        <v>27.046511627906977</v>
      </c>
      <c r="U29" s="5">
        <f>VLOOKUP(Tabela1[[#This Row],[canal_aquisicao]],Tabela2[#All],2,0)</f>
        <v>23256.714285714286</v>
      </c>
      <c r="V29" s="1" t="str">
        <f t="shared" si="0"/>
        <v>Não Qualificado</v>
      </c>
      <c r="W29" s="1" t="str">
        <f>VLOOKUP(C29,Tabela5[#All],2,0)</f>
        <v>Awareness</v>
      </c>
      <c r="X29" s="14" t="str">
        <f t="shared" si="1"/>
        <v>Baixo</v>
      </c>
      <c r="Y29" s="17" t="str">
        <f t="shared" si="2"/>
        <v>Sem Compra</v>
      </c>
      <c r="Z29" s="17" t="str">
        <f t="shared" si="3"/>
        <v>Adulto</v>
      </c>
      <c r="AA29" s="17" t="str">
        <f>IF($AG$10&gt;=Tabela1[[#This Row],[investimento]]&gt;=$AG$11,"OK","Outlier")</f>
        <v>OK</v>
      </c>
      <c r="AB29" s="17" t="str">
        <f>IF($AG$17&gt;=Tabela1[[#This Row],[visitantes]]&gt;=$AG$18,"OK","Outlier")</f>
        <v>OK</v>
      </c>
      <c r="AC29" s="17" t="str">
        <f>IF($AG$24&gt;=Tabela1[[#This Row],[leads_gerados]]&gt;=$AG$25,"OK","Outlier")</f>
        <v>OK</v>
      </c>
      <c r="AD29" s="17" t="str">
        <f>IF($AG$31&gt;=Tabela1[[#This Row],[ltv_estimado]]&gt;=$AG$32,"OK","Outlier")</f>
        <v>OK</v>
      </c>
      <c r="AE29" s="17"/>
      <c r="AF29" t="s">
        <v>196</v>
      </c>
      <c r="AG29">
        <f>_xlfn.QUARTILE.EXC(S:S,3)</f>
        <v>4721.25</v>
      </c>
    </row>
    <row r="30" spans="1:33" ht="15.75" customHeight="1" x14ac:dyDescent="0.25">
      <c r="A30" s="1" t="s">
        <v>82</v>
      </c>
      <c r="B30" s="2">
        <v>45482</v>
      </c>
      <c r="C30" s="1" t="s">
        <v>54</v>
      </c>
      <c r="D30" s="1" t="s">
        <v>49</v>
      </c>
      <c r="E30" s="1" t="s">
        <v>24</v>
      </c>
      <c r="F30" s="1">
        <v>7238</v>
      </c>
      <c r="G30" s="1">
        <v>2480</v>
      </c>
      <c r="H30" s="1">
        <v>154</v>
      </c>
      <c r="I30" s="1" t="s">
        <v>40</v>
      </c>
      <c r="J30" s="1">
        <v>8</v>
      </c>
      <c r="K30" s="1" t="s">
        <v>25</v>
      </c>
      <c r="L30" s="1">
        <v>0</v>
      </c>
      <c r="M30" s="1">
        <v>0</v>
      </c>
      <c r="N30" s="1">
        <v>29</v>
      </c>
      <c r="O30" s="1" t="s">
        <v>26</v>
      </c>
      <c r="P30" s="1" t="s">
        <v>46</v>
      </c>
      <c r="Q30" s="1">
        <v>25</v>
      </c>
      <c r="R30" s="1" t="s">
        <v>29</v>
      </c>
      <c r="S30" s="1">
        <v>2435</v>
      </c>
      <c r="T30" s="5">
        <f>Tabela1[[#This Row],[investimento]]/Tabela1[[#This Row],[leads_gerados]]</f>
        <v>47</v>
      </c>
      <c r="U30" s="5">
        <f>VLOOKUP(Tabela1[[#This Row],[canal_aquisicao]],Tabela2[#All],2,0)</f>
        <v>23467.142857142859</v>
      </c>
      <c r="V30" s="1" t="str">
        <f t="shared" si="0"/>
        <v>Não Qualificado</v>
      </c>
      <c r="W30" s="1" t="str">
        <f>VLOOKUP(C30,Tabela5[#All],2,0)</f>
        <v>Awareness</v>
      </c>
      <c r="X30" s="14" t="str">
        <f t="shared" si="1"/>
        <v>Baixo</v>
      </c>
      <c r="Y30" s="17" t="str">
        <f t="shared" si="2"/>
        <v>Sem Compra</v>
      </c>
      <c r="Z30" s="17" t="str">
        <f t="shared" si="3"/>
        <v>Adulto</v>
      </c>
      <c r="AA30" s="17" t="str">
        <f>IF($AG$10&gt;=Tabela1[[#This Row],[investimento]]&gt;=$AG$11,"OK","Outlier")</f>
        <v>OK</v>
      </c>
      <c r="AB30" s="17" t="str">
        <f>IF($AG$17&gt;=Tabela1[[#This Row],[visitantes]]&gt;=$AG$18,"OK","Outlier")</f>
        <v>OK</v>
      </c>
      <c r="AC30" s="17" t="str">
        <f>IF($AG$24&gt;=Tabela1[[#This Row],[leads_gerados]]&gt;=$AG$25,"OK","Outlier")</f>
        <v>OK</v>
      </c>
      <c r="AD30" s="17" t="str">
        <f>IF($AG$31&gt;=Tabela1[[#This Row],[ltv_estimado]]&gt;=$AG$32,"OK","Outlier")</f>
        <v>OK</v>
      </c>
      <c r="AE30" s="17"/>
      <c r="AF30" t="s">
        <v>197</v>
      </c>
      <c r="AG30">
        <f>AG29-AG28</f>
        <v>2771.5</v>
      </c>
    </row>
    <row r="31" spans="1:33" ht="15.75" customHeight="1" x14ac:dyDescent="0.25">
      <c r="A31" s="1" t="s">
        <v>134</v>
      </c>
      <c r="B31" s="2">
        <v>45394</v>
      </c>
      <c r="C31" s="1" t="s">
        <v>54</v>
      </c>
      <c r="D31" s="1" t="s">
        <v>49</v>
      </c>
      <c r="E31" s="1" t="s">
        <v>50</v>
      </c>
      <c r="F31" s="1">
        <v>4194</v>
      </c>
      <c r="G31" s="1">
        <v>4708</v>
      </c>
      <c r="H31" s="1">
        <v>194</v>
      </c>
      <c r="I31" s="1" t="s">
        <v>63</v>
      </c>
      <c r="J31" s="1">
        <v>37</v>
      </c>
      <c r="K31" s="1" t="s">
        <v>41</v>
      </c>
      <c r="L31" s="1">
        <v>280</v>
      </c>
      <c r="M31" s="1">
        <v>280</v>
      </c>
      <c r="N31" s="1">
        <v>35</v>
      </c>
      <c r="O31" s="1" t="s">
        <v>26</v>
      </c>
      <c r="P31" s="1" t="s">
        <v>51</v>
      </c>
      <c r="Q31" s="1">
        <v>91</v>
      </c>
      <c r="R31" s="1" t="s">
        <v>29</v>
      </c>
      <c r="S31" s="1">
        <v>4040</v>
      </c>
      <c r="T31" s="5">
        <f>Tabela1[[#This Row],[investimento]]/Tabela1[[#This Row],[leads_gerados]]</f>
        <v>21.618556701030929</v>
      </c>
      <c r="U31" s="5">
        <f>VLOOKUP(Tabela1[[#This Row],[canal_aquisicao]],Tabela2[#All],2,0)</f>
        <v>23467.142857142859</v>
      </c>
      <c r="V31" s="1" t="str">
        <f t="shared" si="0"/>
        <v>Qualificado</v>
      </c>
      <c r="W31" s="1" t="str">
        <f>VLOOKUP(C31,Tabela5[#All],2,0)</f>
        <v>Awareness</v>
      </c>
      <c r="X31" s="14" t="str">
        <f t="shared" si="1"/>
        <v>Alto</v>
      </c>
      <c r="Y31" s="17" t="str">
        <f t="shared" si="2"/>
        <v>Médio</v>
      </c>
      <c r="Z31" s="17" t="str">
        <f t="shared" si="3"/>
        <v>Adulto</v>
      </c>
      <c r="AA31" s="17" t="str">
        <f>IF($AG$10&gt;=Tabela1[[#This Row],[investimento]]&gt;=$AG$11,"OK","Outlier")</f>
        <v>OK</v>
      </c>
      <c r="AB31" s="17" t="str">
        <f>IF($AG$17&gt;=Tabela1[[#This Row],[visitantes]]&gt;=$AG$18,"OK","Outlier")</f>
        <v>OK</v>
      </c>
      <c r="AC31" s="17" t="str">
        <f>IF($AG$24&gt;=Tabela1[[#This Row],[leads_gerados]]&gt;=$AG$25,"OK","Outlier")</f>
        <v>OK</v>
      </c>
      <c r="AD31" s="17" t="str">
        <f>IF($AG$31&gt;=Tabela1[[#This Row],[ltv_estimado]]&gt;=$AG$32,"OK","Outlier")</f>
        <v>OK</v>
      </c>
      <c r="AE31" s="17"/>
      <c r="AF31" t="s">
        <v>198</v>
      </c>
      <c r="AG31">
        <f>AG28-1.5*AG30</f>
        <v>-2207.5</v>
      </c>
    </row>
    <row r="32" spans="1:33" ht="15.75" customHeight="1" x14ac:dyDescent="0.25">
      <c r="A32" s="1" t="s">
        <v>117</v>
      </c>
      <c r="B32" s="2">
        <v>45589</v>
      </c>
      <c r="C32" s="1" t="s">
        <v>54</v>
      </c>
      <c r="D32" s="1" t="s">
        <v>49</v>
      </c>
      <c r="E32" s="1" t="s">
        <v>50</v>
      </c>
      <c r="F32" s="1">
        <v>16475</v>
      </c>
      <c r="G32" s="1">
        <v>850</v>
      </c>
      <c r="H32" s="1">
        <v>161</v>
      </c>
      <c r="I32" s="1" t="s">
        <v>63</v>
      </c>
      <c r="J32" s="1">
        <v>32</v>
      </c>
      <c r="K32" s="1" t="s">
        <v>41</v>
      </c>
      <c r="L32" s="1">
        <v>394</v>
      </c>
      <c r="M32" s="1">
        <v>197</v>
      </c>
      <c r="N32" s="1">
        <v>44</v>
      </c>
      <c r="O32" s="1" t="s">
        <v>42</v>
      </c>
      <c r="P32" s="1" t="s">
        <v>59</v>
      </c>
      <c r="Q32" s="1">
        <v>10</v>
      </c>
      <c r="R32" s="1" t="s">
        <v>29</v>
      </c>
      <c r="S32" s="1">
        <v>3598</v>
      </c>
      <c r="T32" s="5">
        <f>Tabela1[[#This Row],[investimento]]/Tabela1[[#This Row],[leads_gerados]]</f>
        <v>102.32919254658385</v>
      </c>
      <c r="U32" s="5">
        <f>VLOOKUP(Tabela1[[#This Row],[canal_aquisicao]],Tabela2[#All],2,0)</f>
        <v>23467.142857142859</v>
      </c>
      <c r="V32" s="1" t="str">
        <f t="shared" si="0"/>
        <v>Não Qualificado</v>
      </c>
      <c r="W32" s="1" t="str">
        <f>VLOOKUP(C32,Tabela5[#All],2,0)</f>
        <v>Awareness</v>
      </c>
      <c r="X32" s="14" t="str">
        <f t="shared" si="1"/>
        <v>Baixo</v>
      </c>
      <c r="Y32" s="17" t="str">
        <f t="shared" si="2"/>
        <v>Médio</v>
      </c>
      <c r="Z32" s="17" t="str">
        <f t="shared" si="3"/>
        <v>Sênior</v>
      </c>
      <c r="AA32" s="17" t="str">
        <f>IF($AG$10&gt;=Tabela1[[#This Row],[investimento]]&gt;=$AG$11,"OK","Outlier")</f>
        <v>OK</v>
      </c>
      <c r="AB32" s="17" t="str">
        <f>IF($AG$17&gt;=Tabela1[[#This Row],[visitantes]]&gt;=$AG$18,"OK","Outlier")</f>
        <v>OK</v>
      </c>
      <c r="AC32" s="17" t="str">
        <f>IF($AG$24&gt;=Tabela1[[#This Row],[leads_gerados]]&gt;=$AG$25,"OK","Outlier")</f>
        <v>OK</v>
      </c>
      <c r="AD32" s="17" t="str">
        <f>IF($AG$31&gt;=Tabela1[[#This Row],[ltv_estimado]]&gt;=$AG$32,"OK","Outlier")</f>
        <v>OK</v>
      </c>
      <c r="AE32" s="17"/>
      <c r="AF32" t="s">
        <v>199</v>
      </c>
      <c r="AG32">
        <f>AG29+1.5*AG30</f>
        <v>8878.5</v>
      </c>
    </row>
    <row r="33" spans="1:33" ht="15.75" customHeight="1" x14ac:dyDescent="0.25">
      <c r="A33" s="1" t="s">
        <v>115</v>
      </c>
      <c r="B33" s="2">
        <v>45823</v>
      </c>
      <c r="C33" s="1" t="s">
        <v>57</v>
      </c>
      <c r="D33" s="1" t="s">
        <v>49</v>
      </c>
      <c r="E33" s="1" t="s">
        <v>50</v>
      </c>
      <c r="F33" s="1">
        <v>13790</v>
      </c>
      <c r="G33" s="1">
        <v>1673</v>
      </c>
      <c r="H33" s="1">
        <v>204</v>
      </c>
      <c r="I33" s="1" t="s">
        <v>24</v>
      </c>
      <c r="J33" s="1">
        <v>20</v>
      </c>
      <c r="K33" s="1" t="s">
        <v>41</v>
      </c>
      <c r="L33" s="1">
        <v>200</v>
      </c>
      <c r="M33" s="1">
        <v>66.67</v>
      </c>
      <c r="N33">
        <v>38</v>
      </c>
      <c r="O33" s="1" t="s">
        <v>26</v>
      </c>
      <c r="P33" s="1" t="s">
        <v>51</v>
      </c>
      <c r="Q33" s="1">
        <v>67</v>
      </c>
      <c r="R33" s="1" t="s">
        <v>37</v>
      </c>
      <c r="S33" s="1">
        <v>4259</v>
      </c>
      <c r="T33" s="5">
        <f>Tabela1[[#This Row],[investimento]]/Tabela1[[#This Row],[leads_gerados]]</f>
        <v>67.598039215686271</v>
      </c>
      <c r="U33" s="5">
        <f>VLOOKUP(Tabela1[[#This Row],[canal_aquisicao]],Tabela2[#All],2,0)</f>
        <v>22207.375</v>
      </c>
      <c r="V33" s="1" t="str">
        <f t="shared" si="0"/>
        <v>Não Qualificado</v>
      </c>
      <c r="W33" s="1" t="str">
        <f>VLOOKUP(C33,Tabela5[#All],2,0)</f>
        <v>Intenção de Compra</v>
      </c>
      <c r="X33" s="14" t="str">
        <f t="shared" si="1"/>
        <v>Médio</v>
      </c>
      <c r="Y33" s="17" t="str">
        <f t="shared" si="2"/>
        <v>Baixo</v>
      </c>
      <c r="Z33" s="17" t="str">
        <f t="shared" si="3"/>
        <v>Adulto</v>
      </c>
      <c r="AA33" s="17" t="str">
        <f>IF($AG$10&gt;=Tabela1[[#This Row],[investimento]]&gt;=$AG$11,"OK","Outlier")</f>
        <v>OK</v>
      </c>
      <c r="AB33" s="17" t="str">
        <f>IF($AG$17&gt;=Tabela1[[#This Row],[visitantes]]&gt;=$AG$18,"OK","Outlier")</f>
        <v>OK</v>
      </c>
      <c r="AC33" s="17" t="str">
        <f>IF($AG$24&gt;=Tabela1[[#This Row],[leads_gerados]]&gt;=$AG$25,"OK","Outlier")</f>
        <v>OK</v>
      </c>
      <c r="AD33" s="17" t="str">
        <f>IF($AG$31&gt;=Tabela1[[#This Row],[ltv_estimado]]&gt;=$AG$32,"OK","Outlier")</f>
        <v>OK</v>
      </c>
      <c r="AE33" s="17"/>
    </row>
    <row r="34" spans="1:33" ht="15.75" customHeight="1" x14ac:dyDescent="0.25">
      <c r="A34" s="1" t="s">
        <v>152</v>
      </c>
      <c r="B34" s="2">
        <v>45598</v>
      </c>
      <c r="C34" s="1" t="s">
        <v>57</v>
      </c>
      <c r="D34" s="1" t="s">
        <v>49</v>
      </c>
      <c r="E34" s="1" t="s">
        <v>50</v>
      </c>
      <c r="F34" s="1">
        <v>18597</v>
      </c>
      <c r="G34" s="1">
        <v>2044</v>
      </c>
      <c r="H34" s="1">
        <v>125</v>
      </c>
      <c r="I34" s="1" t="s">
        <v>63</v>
      </c>
      <c r="J34" s="1">
        <v>9</v>
      </c>
      <c r="K34" s="1" t="s">
        <v>25</v>
      </c>
      <c r="L34" s="1">
        <v>0</v>
      </c>
      <c r="M34" s="1">
        <v>0</v>
      </c>
      <c r="N34" s="1">
        <v>24</v>
      </c>
      <c r="O34" s="1" t="s">
        <v>26</v>
      </c>
      <c r="P34" s="1" t="s">
        <v>51</v>
      </c>
      <c r="Q34" s="1">
        <v>52</v>
      </c>
      <c r="R34" s="1" t="s">
        <v>29</v>
      </c>
      <c r="S34" s="1">
        <v>5038</v>
      </c>
      <c r="T34" s="5">
        <f>Tabela1[[#This Row],[investimento]]/Tabela1[[#This Row],[leads_gerados]]</f>
        <v>148.77600000000001</v>
      </c>
      <c r="U34" s="5">
        <f>VLOOKUP(Tabela1[[#This Row],[canal_aquisicao]],Tabela2[#All],2,0)</f>
        <v>22207.375</v>
      </c>
      <c r="V34" s="1" t="str">
        <f t="shared" ref="V34:V65" si="4">IF(Q34&gt;=70,"Qualificado","Não Qualificado")</f>
        <v>Não Qualificado</v>
      </c>
      <c r="W34" s="1" t="str">
        <f>VLOOKUP(C34,Tabela5[#All],2,0)</f>
        <v>Intenção de Compra</v>
      </c>
      <c r="X34" s="14" t="str">
        <f t="shared" ref="X34:X65" si="5">IF(Q34&gt;=70, "Alto", IF(Q34&gt;=40, "Médio", "Baixo"))</f>
        <v>Médio</v>
      </c>
      <c r="Y34" s="17" t="str">
        <f t="shared" ref="Y34:Y65" si="6">IF(M34=0, "Sem Compra", IF(M34&gt;=400, "Alto", IF(M34&gt;=150, "Médio", "Baixo")))</f>
        <v>Sem Compra</v>
      </c>
      <c r="Z34" s="17" t="str">
        <f t="shared" ref="Z34:Z65" si="7">IF(N34&gt;=18,IF(N34&lt;=25,"Jovem",IF(N34&lt;=40,"Adulto","Sênior")),"")</f>
        <v>Jovem</v>
      </c>
      <c r="AA34" s="17" t="str">
        <f>IF($AG$10&gt;=Tabela1[[#This Row],[investimento]]&gt;=$AG$11,"OK","Outlier")</f>
        <v>OK</v>
      </c>
      <c r="AB34" s="17" t="str">
        <f>IF($AG$17&gt;=Tabela1[[#This Row],[visitantes]]&gt;=$AG$18,"OK","Outlier")</f>
        <v>OK</v>
      </c>
      <c r="AC34" s="17" t="str">
        <f>IF($AG$24&gt;=Tabela1[[#This Row],[leads_gerados]]&gt;=$AG$25,"OK","Outlier")</f>
        <v>OK</v>
      </c>
      <c r="AD34" s="17" t="str">
        <f>IF($AG$31&gt;=Tabela1[[#This Row],[ltv_estimado]]&gt;=$AG$32,"OK","Outlier")</f>
        <v>OK</v>
      </c>
      <c r="AE34" s="17"/>
      <c r="AF34" t="s">
        <v>219</v>
      </c>
      <c r="AG34" s="10">
        <f>AVERAGE(U:U)</f>
        <v>21292.630952380925</v>
      </c>
    </row>
    <row r="35" spans="1:33" ht="15.75" customHeight="1" x14ac:dyDescent="0.25">
      <c r="A35" s="1" t="s">
        <v>157</v>
      </c>
      <c r="B35" s="2">
        <v>45398</v>
      </c>
      <c r="C35" s="1" t="s">
        <v>57</v>
      </c>
      <c r="D35" s="1" t="s">
        <v>49</v>
      </c>
      <c r="E35" s="1" t="s">
        <v>23</v>
      </c>
      <c r="F35" s="1">
        <v>6596</v>
      </c>
      <c r="G35" s="1">
        <v>1992</v>
      </c>
      <c r="H35" s="1">
        <v>16</v>
      </c>
      <c r="I35" s="1" t="s">
        <v>55</v>
      </c>
      <c r="J35" s="1">
        <v>2</v>
      </c>
      <c r="K35" s="1" t="s">
        <v>41</v>
      </c>
      <c r="L35" s="1">
        <v>898</v>
      </c>
      <c r="M35" s="1">
        <v>898</v>
      </c>
      <c r="N35">
        <v>40</v>
      </c>
      <c r="O35" s="1" t="s">
        <v>42</v>
      </c>
      <c r="P35" s="1" t="s">
        <v>35</v>
      </c>
      <c r="Q35" s="1">
        <v>27</v>
      </c>
      <c r="R35" s="1" t="s">
        <v>37</v>
      </c>
      <c r="S35" s="1">
        <v>2480</v>
      </c>
      <c r="T35" s="5">
        <f>Tabela1[[#This Row],[investimento]]/Tabela1[[#This Row],[leads_gerados]]</f>
        <v>412.25</v>
      </c>
      <c r="U35" s="5">
        <f>VLOOKUP(Tabela1[[#This Row],[canal_aquisicao]],Tabela2[#All],2,0)</f>
        <v>22207.375</v>
      </c>
      <c r="V35" s="1" t="str">
        <f t="shared" si="4"/>
        <v>Não Qualificado</v>
      </c>
      <c r="W35" s="1" t="str">
        <f>VLOOKUP(C35,Tabela5[#All],2,0)</f>
        <v>Intenção de Compra</v>
      </c>
      <c r="X35" s="14" t="str">
        <f t="shared" si="5"/>
        <v>Baixo</v>
      </c>
      <c r="Y35" s="17" t="str">
        <f t="shared" si="6"/>
        <v>Alto</v>
      </c>
      <c r="Z35" s="17" t="str">
        <f t="shared" si="7"/>
        <v>Adulto</v>
      </c>
      <c r="AA35" s="17" t="str">
        <f>IF($AG$10&gt;=Tabela1[[#This Row],[investimento]]&gt;=$AG$11,"OK","Outlier")</f>
        <v>OK</v>
      </c>
      <c r="AB35" s="17" t="str">
        <f>IF($AG$17&gt;=Tabela1[[#This Row],[visitantes]]&gt;=$AG$18,"OK","Outlier")</f>
        <v>OK</v>
      </c>
      <c r="AC35" s="17" t="str">
        <f>IF($AG$24&gt;=Tabela1[[#This Row],[leads_gerados]]&gt;=$AG$25,"OK","Outlier")</f>
        <v>OK</v>
      </c>
      <c r="AD35" s="17" t="str">
        <f>IF($AG$31&gt;=Tabela1[[#This Row],[ltv_estimado]]&gt;=$AG$32,"OK","Outlier")</f>
        <v>OK</v>
      </c>
      <c r="AE35" s="17"/>
    </row>
    <row r="36" spans="1:33" ht="15.75" customHeight="1" x14ac:dyDescent="0.25">
      <c r="A36" s="1" t="s">
        <v>158</v>
      </c>
      <c r="B36" s="2">
        <v>45732</v>
      </c>
      <c r="C36" s="1" t="s">
        <v>54</v>
      </c>
      <c r="D36" s="1" t="s">
        <v>49</v>
      </c>
      <c r="E36" s="1" t="s">
        <v>24</v>
      </c>
      <c r="F36" s="1">
        <v>1510</v>
      </c>
      <c r="G36" s="1">
        <v>3689</v>
      </c>
      <c r="H36" s="1">
        <v>220</v>
      </c>
      <c r="I36" s="1" t="s">
        <v>63</v>
      </c>
      <c r="J36" s="1">
        <v>20</v>
      </c>
      <c r="K36" s="1" t="s">
        <v>41</v>
      </c>
      <c r="L36" s="1">
        <v>397</v>
      </c>
      <c r="M36" s="1">
        <v>397</v>
      </c>
      <c r="N36">
        <v>38</v>
      </c>
      <c r="O36" s="1" t="s">
        <v>26</v>
      </c>
      <c r="P36" s="1" t="s">
        <v>35</v>
      </c>
      <c r="Q36" s="1">
        <v>42</v>
      </c>
      <c r="R36" s="1" t="s">
        <v>47</v>
      </c>
      <c r="S36" s="1">
        <v>4628</v>
      </c>
      <c r="T36" s="5">
        <f>Tabela1[[#This Row],[investimento]]/Tabela1[[#This Row],[leads_gerados]]</f>
        <v>6.8636363636363633</v>
      </c>
      <c r="U36" s="5">
        <f>VLOOKUP(Tabela1[[#This Row],[canal_aquisicao]],Tabela2[#All],2,0)</f>
        <v>23467.142857142859</v>
      </c>
      <c r="V36" s="1" t="str">
        <f t="shared" si="4"/>
        <v>Não Qualificado</v>
      </c>
      <c r="W36" s="1" t="str">
        <f>VLOOKUP(C36,Tabela5[#All],2,0)</f>
        <v>Awareness</v>
      </c>
      <c r="X36" s="14" t="str">
        <f t="shared" si="5"/>
        <v>Médio</v>
      </c>
      <c r="Y36" s="17" t="str">
        <f t="shared" si="6"/>
        <v>Médio</v>
      </c>
      <c r="Z36" s="17" t="str">
        <f t="shared" si="7"/>
        <v>Adulto</v>
      </c>
      <c r="AA36" s="17" t="str">
        <f>IF($AG$10&gt;=Tabela1[[#This Row],[investimento]]&gt;=$AG$11,"OK","Outlier")</f>
        <v>OK</v>
      </c>
      <c r="AB36" s="17" t="str">
        <f>IF($AG$17&gt;=Tabela1[[#This Row],[visitantes]]&gt;=$AG$18,"OK","Outlier")</f>
        <v>OK</v>
      </c>
      <c r="AC36" s="17" t="str">
        <f>IF($AG$24&gt;=Tabela1[[#This Row],[leads_gerados]]&gt;=$AG$25,"OK","Outlier")</f>
        <v>OK</v>
      </c>
      <c r="AD36" s="17" t="str">
        <f>IF($AG$31&gt;=Tabela1[[#This Row],[ltv_estimado]]&gt;=$AG$32,"OK","Outlier")</f>
        <v>OK</v>
      </c>
      <c r="AE36" s="17"/>
    </row>
    <row r="37" spans="1:33" ht="15.75" customHeight="1" x14ac:dyDescent="0.25">
      <c r="A37" s="1" t="s">
        <v>159</v>
      </c>
      <c r="B37" s="2">
        <v>45379</v>
      </c>
      <c r="C37" s="1" t="s">
        <v>57</v>
      </c>
      <c r="D37" s="1" t="s">
        <v>49</v>
      </c>
      <c r="E37" s="1" t="s">
        <v>33</v>
      </c>
      <c r="F37" s="1">
        <v>8023</v>
      </c>
      <c r="G37" s="1">
        <v>3393</v>
      </c>
      <c r="H37" s="1">
        <v>90</v>
      </c>
      <c r="I37" s="1" t="s">
        <v>34</v>
      </c>
      <c r="J37" s="1">
        <v>24</v>
      </c>
      <c r="K37" s="1" t="s">
        <v>41</v>
      </c>
      <c r="L37" s="1">
        <v>487</v>
      </c>
      <c r="M37" s="1">
        <v>487</v>
      </c>
      <c r="N37">
        <v>38</v>
      </c>
      <c r="O37" s="1" t="s">
        <v>26</v>
      </c>
      <c r="P37" s="1" t="s">
        <v>35</v>
      </c>
      <c r="Q37" s="1">
        <v>85</v>
      </c>
      <c r="R37" s="1" t="s">
        <v>47</v>
      </c>
      <c r="S37" s="1">
        <v>3809</v>
      </c>
      <c r="T37" s="5">
        <f>Tabela1[[#This Row],[investimento]]/Tabela1[[#This Row],[leads_gerados]]</f>
        <v>89.144444444444446</v>
      </c>
      <c r="U37" s="5">
        <f>VLOOKUP(Tabela1[[#This Row],[canal_aquisicao]],Tabela2[#All],2,0)</f>
        <v>22207.375</v>
      </c>
      <c r="V37" s="1" t="str">
        <f t="shared" si="4"/>
        <v>Qualificado</v>
      </c>
      <c r="W37" s="1" t="str">
        <f>VLOOKUP(C37,Tabela5[#All],2,0)</f>
        <v>Intenção de Compra</v>
      </c>
      <c r="X37" s="14" t="str">
        <f t="shared" si="5"/>
        <v>Alto</v>
      </c>
      <c r="Y37" s="17" t="str">
        <f t="shared" si="6"/>
        <v>Alto</v>
      </c>
      <c r="Z37" s="17" t="str">
        <f t="shared" si="7"/>
        <v>Adulto</v>
      </c>
      <c r="AA37" s="17" t="str">
        <f>IF($AG$10&gt;=Tabela1[[#This Row],[investimento]]&gt;=$AG$11,"OK","Outlier")</f>
        <v>OK</v>
      </c>
      <c r="AB37" s="17" t="str">
        <f>IF($AG$17&gt;=Tabela1[[#This Row],[visitantes]]&gt;=$AG$18,"OK","Outlier")</f>
        <v>OK</v>
      </c>
      <c r="AC37" s="17" t="str">
        <f>IF($AG$24&gt;=Tabela1[[#This Row],[leads_gerados]]&gt;=$AG$25,"OK","Outlier")</f>
        <v>OK</v>
      </c>
      <c r="AD37" s="17" t="str">
        <f>IF($AG$31&gt;=Tabela1[[#This Row],[ltv_estimado]]&gt;=$AG$32,"OK","Outlier")</f>
        <v>OK</v>
      </c>
      <c r="AE37" s="17"/>
    </row>
    <row r="38" spans="1:33" ht="15.75" customHeight="1" x14ac:dyDescent="0.25">
      <c r="A38" s="1" t="s">
        <v>79</v>
      </c>
      <c r="B38" s="2">
        <v>45821</v>
      </c>
      <c r="C38" s="1" t="s">
        <v>21</v>
      </c>
      <c r="D38" s="1" t="s">
        <v>49</v>
      </c>
      <c r="E38" s="1" t="s">
        <v>23</v>
      </c>
      <c r="F38" s="1">
        <v>17015</v>
      </c>
      <c r="G38" s="1">
        <v>2614</v>
      </c>
      <c r="H38" s="1">
        <v>144</v>
      </c>
      <c r="I38" s="1" t="s">
        <v>40</v>
      </c>
      <c r="J38" s="1">
        <v>25</v>
      </c>
      <c r="K38" s="1" t="s">
        <v>41</v>
      </c>
      <c r="L38" s="1">
        <v>250</v>
      </c>
      <c r="M38" s="1">
        <v>250</v>
      </c>
      <c r="N38" s="1">
        <v>49</v>
      </c>
      <c r="O38" s="1" t="s">
        <v>42</v>
      </c>
      <c r="P38" s="1" t="s">
        <v>46</v>
      </c>
      <c r="Q38" s="1">
        <v>17</v>
      </c>
      <c r="R38" s="1" t="s">
        <v>29</v>
      </c>
      <c r="S38" s="1">
        <v>987</v>
      </c>
      <c r="T38" s="5">
        <f>Tabela1[[#This Row],[investimento]]/Tabela1[[#This Row],[leads_gerados]]</f>
        <v>118.15972222222223</v>
      </c>
      <c r="U38" s="5">
        <f>VLOOKUP(Tabela1[[#This Row],[canal_aquisicao]],Tabela2[#All],2,0)</f>
        <v>18122.25</v>
      </c>
      <c r="V38" s="1" t="str">
        <f t="shared" si="4"/>
        <v>Não Qualificado</v>
      </c>
      <c r="W38" s="1" t="str">
        <f>VLOOKUP(C38,Tabela5[#All],2,0)</f>
        <v>Intenção de Compra</v>
      </c>
      <c r="X38" s="14" t="str">
        <f t="shared" si="5"/>
        <v>Baixo</v>
      </c>
      <c r="Y38" s="17" t="str">
        <f t="shared" si="6"/>
        <v>Médio</v>
      </c>
      <c r="Z38" s="17" t="str">
        <f t="shared" si="7"/>
        <v>Sênior</v>
      </c>
      <c r="AA38" s="17" t="str">
        <f>IF($AG$10&gt;=Tabela1[[#This Row],[investimento]]&gt;=$AG$11,"OK","Outlier")</f>
        <v>OK</v>
      </c>
      <c r="AB38" s="17" t="str">
        <f>IF($AG$17&gt;=Tabela1[[#This Row],[visitantes]]&gt;=$AG$18,"OK","Outlier")</f>
        <v>OK</v>
      </c>
      <c r="AC38" s="17" t="str">
        <f>IF($AG$24&gt;=Tabela1[[#This Row],[leads_gerados]]&gt;=$AG$25,"OK","Outlier")</f>
        <v>OK</v>
      </c>
      <c r="AD38" s="17" t="str">
        <f>IF($AG$31&gt;=Tabela1[[#This Row],[ltv_estimado]]&gt;=$AG$32,"OK","Outlier")</f>
        <v>OK</v>
      </c>
      <c r="AE38" s="17"/>
    </row>
    <row r="39" spans="1:33" ht="15.75" customHeight="1" x14ac:dyDescent="0.25">
      <c r="A39" s="1" t="s">
        <v>20</v>
      </c>
      <c r="B39" s="2">
        <v>45464</v>
      </c>
      <c r="C39" s="1" t="s">
        <v>21</v>
      </c>
      <c r="D39" s="1" t="s">
        <v>22</v>
      </c>
      <c r="E39" s="1" t="s">
        <v>23</v>
      </c>
      <c r="F39" s="1">
        <v>6019</v>
      </c>
      <c r="G39" s="1">
        <v>2084</v>
      </c>
      <c r="H39" s="1">
        <v>242</v>
      </c>
      <c r="I39" s="1" t="s">
        <v>24</v>
      </c>
      <c r="J39" s="1">
        <v>26</v>
      </c>
      <c r="K39" s="1" t="s">
        <v>25</v>
      </c>
      <c r="L39" s="1">
        <v>0</v>
      </c>
      <c r="M39" s="1">
        <v>0</v>
      </c>
      <c r="N39">
        <v>38</v>
      </c>
      <c r="O39" s="1" t="s">
        <v>26</v>
      </c>
      <c r="P39" s="1" t="s">
        <v>46</v>
      </c>
      <c r="Q39" s="1">
        <v>35</v>
      </c>
      <c r="R39" s="1" t="s">
        <v>29</v>
      </c>
      <c r="S39" s="1">
        <v>3406</v>
      </c>
      <c r="T39" s="5">
        <f>Tabela1[[#This Row],[investimento]]/Tabela1[[#This Row],[leads_gerados]]</f>
        <v>24.871900826446282</v>
      </c>
      <c r="U39" s="5">
        <f>VLOOKUP(Tabela1[[#This Row],[canal_aquisicao]],Tabela2[#All],2,0)</f>
        <v>18122.25</v>
      </c>
      <c r="V39" s="1" t="str">
        <f t="shared" si="4"/>
        <v>Não Qualificado</v>
      </c>
      <c r="W39" s="1" t="str">
        <f>VLOOKUP(C39,Tabela5[#All],2,0)</f>
        <v>Intenção de Compra</v>
      </c>
      <c r="X39" s="14" t="str">
        <f t="shared" si="5"/>
        <v>Baixo</v>
      </c>
      <c r="Y39" s="17" t="str">
        <f t="shared" si="6"/>
        <v>Sem Compra</v>
      </c>
      <c r="Z39" s="17" t="str">
        <f t="shared" si="7"/>
        <v>Adulto</v>
      </c>
      <c r="AA39" s="17" t="str">
        <f>IF($AG$10&gt;=Tabela1[[#This Row],[investimento]]&gt;=$AG$11,"OK","Outlier")</f>
        <v>OK</v>
      </c>
      <c r="AB39" s="17" t="str">
        <f>IF($AG$17&gt;=Tabela1[[#This Row],[visitantes]]&gt;=$AG$18,"OK","Outlier")</f>
        <v>OK</v>
      </c>
      <c r="AC39" s="17" t="str">
        <f>IF($AG$24&gt;=Tabela1[[#This Row],[leads_gerados]]&gt;=$AG$25,"OK","Outlier")</f>
        <v>OK</v>
      </c>
      <c r="AD39" s="17" t="str">
        <f>IF($AG$31&gt;=Tabela1[[#This Row],[ltv_estimado]]&gt;=$AG$32,"OK","Outlier")</f>
        <v>OK</v>
      </c>
      <c r="AE39" s="17"/>
    </row>
    <row r="40" spans="1:33" ht="15.75" customHeight="1" x14ac:dyDescent="0.25">
      <c r="A40" s="1" t="s">
        <v>64</v>
      </c>
      <c r="B40" s="2">
        <v>45430</v>
      </c>
      <c r="C40" s="1" t="s">
        <v>39</v>
      </c>
      <c r="D40" s="1" t="s">
        <v>22</v>
      </c>
      <c r="E40" s="1" t="s">
        <v>24</v>
      </c>
      <c r="F40" s="1">
        <v>13725</v>
      </c>
      <c r="G40" s="1">
        <v>1757</v>
      </c>
      <c r="H40" s="1">
        <v>255</v>
      </c>
      <c r="I40" s="1" t="s">
        <v>58</v>
      </c>
      <c r="J40" s="1">
        <v>27</v>
      </c>
      <c r="K40" s="1" t="s">
        <v>41</v>
      </c>
      <c r="L40" s="1">
        <v>840</v>
      </c>
      <c r="M40" s="1">
        <v>280</v>
      </c>
      <c r="N40">
        <v>40</v>
      </c>
      <c r="O40" s="1" t="s">
        <v>42</v>
      </c>
      <c r="P40" s="1" t="s">
        <v>35</v>
      </c>
      <c r="Q40" s="1">
        <v>45</v>
      </c>
      <c r="R40" s="1" t="s">
        <v>29</v>
      </c>
      <c r="S40" s="1">
        <v>4527</v>
      </c>
      <c r="T40" s="5">
        <f>Tabela1[[#This Row],[investimento]]/Tabela1[[#This Row],[leads_gerados]]</f>
        <v>53.823529411764703</v>
      </c>
      <c r="U40" s="5">
        <f>VLOOKUP(Tabela1[[#This Row],[canal_aquisicao]],Tabela2[#All],2,0)</f>
        <v>23256.714285714286</v>
      </c>
      <c r="V40" s="1" t="str">
        <f t="shared" si="4"/>
        <v>Não Qualificado</v>
      </c>
      <c r="W40" s="1" t="str">
        <f>VLOOKUP(C40,Tabela5[#All],2,0)</f>
        <v>Awareness</v>
      </c>
      <c r="X40" s="14" t="str">
        <f t="shared" si="5"/>
        <v>Médio</v>
      </c>
      <c r="Y40" s="17" t="str">
        <f t="shared" si="6"/>
        <v>Médio</v>
      </c>
      <c r="Z40" s="17" t="str">
        <f t="shared" si="7"/>
        <v>Adulto</v>
      </c>
      <c r="AA40" s="17" t="str">
        <f>IF($AG$10&gt;=Tabela1[[#This Row],[investimento]]&gt;=$AG$11,"OK","Outlier")</f>
        <v>OK</v>
      </c>
      <c r="AB40" s="17" t="str">
        <f>IF($AG$17&gt;=Tabela1[[#This Row],[visitantes]]&gt;=$AG$18,"OK","Outlier")</f>
        <v>OK</v>
      </c>
      <c r="AC40" s="17" t="str">
        <f>IF($AG$24&gt;=Tabela1[[#This Row],[leads_gerados]]&gt;=$AG$25,"OK","Outlier")</f>
        <v>OK</v>
      </c>
      <c r="AD40" s="17" t="str">
        <f>IF($AG$31&gt;=Tabela1[[#This Row],[ltv_estimado]]&gt;=$AG$32,"OK","Outlier")</f>
        <v>OK</v>
      </c>
      <c r="AE40" s="17"/>
    </row>
    <row r="41" spans="1:33" ht="15.75" customHeight="1" x14ac:dyDescent="0.25">
      <c r="A41" s="1" t="s">
        <v>65</v>
      </c>
      <c r="B41" s="2">
        <v>45408</v>
      </c>
      <c r="C41" s="1" t="s">
        <v>21</v>
      </c>
      <c r="D41" s="1" t="s">
        <v>22</v>
      </c>
      <c r="E41" s="1" t="s">
        <v>33</v>
      </c>
      <c r="F41" s="1">
        <v>13392</v>
      </c>
      <c r="G41" s="1">
        <v>522</v>
      </c>
      <c r="H41" s="1">
        <v>115</v>
      </c>
      <c r="I41" s="1" t="s">
        <v>58</v>
      </c>
      <c r="J41" s="1">
        <v>9</v>
      </c>
      <c r="K41" s="1" t="s">
        <v>41</v>
      </c>
      <c r="L41" s="1">
        <v>162</v>
      </c>
      <c r="M41" s="1">
        <v>162</v>
      </c>
      <c r="N41" s="1">
        <v>43</v>
      </c>
      <c r="O41" s="1" t="s">
        <v>26</v>
      </c>
      <c r="P41" s="1" t="s">
        <v>59</v>
      </c>
      <c r="Q41" s="1">
        <v>56</v>
      </c>
      <c r="R41" s="1" t="s">
        <v>29</v>
      </c>
      <c r="S41" s="1">
        <v>1186</v>
      </c>
      <c r="T41" s="5">
        <f>Tabela1[[#This Row],[investimento]]/Tabela1[[#This Row],[leads_gerados]]</f>
        <v>116.45217391304348</v>
      </c>
      <c r="U41" s="5">
        <f>VLOOKUP(Tabela1[[#This Row],[canal_aquisicao]],Tabela2[#All],2,0)</f>
        <v>18122.25</v>
      </c>
      <c r="V41" s="1" t="str">
        <f t="shared" si="4"/>
        <v>Não Qualificado</v>
      </c>
      <c r="W41" s="1" t="str">
        <f>VLOOKUP(C41,Tabela5[#All],2,0)</f>
        <v>Intenção de Compra</v>
      </c>
      <c r="X41" s="14" t="str">
        <f t="shared" si="5"/>
        <v>Médio</v>
      </c>
      <c r="Y41" s="17" t="str">
        <f t="shared" si="6"/>
        <v>Médio</v>
      </c>
      <c r="Z41" s="17" t="str">
        <f t="shared" si="7"/>
        <v>Sênior</v>
      </c>
      <c r="AA41" s="17" t="str">
        <f>IF($AG$10&gt;=Tabela1[[#This Row],[investimento]]&gt;=$AG$11,"OK","Outlier")</f>
        <v>OK</v>
      </c>
      <c r="AB41" s="17" t="str">
        <f>IF($AG$17&gt;=Tabela1[[#This Row],[visitantes]]&gt;=$AG$18,"OK","Outlier")</f>
        <v>OK</v>
      </c>
      <c r="AC41" s="17" t="str">
        <f>IF($AG$24&gt;=Tabela1[[#This Row],[leads_gerados]]&gt;=$AG$25,"OK","Outlier")</f>
        <v>OK</v>
      </c>
      <c r="AD41" s="17" t="str">
        <f>IF($AG$31&gt;=Tabela1[[#This Row],[ltv_estimado]]&gt;=$AG$32,"OK","Outlier")</f>
        <v>OK</v>
      </c>
      <c r="AE41" s="17"/>
    </row>
    <row r="42" spans="1:33" ht="15.75" customHeight="1" x14ac:dyDescent="0.25">
      <c r="A42" s="1" t="s">
        <v>72</v>
      </c>
      <c r="B42" s="2">
        <v>45326</v>
      </c>
      <c r="C42" s="1" t="s">
        <v>54</v>
      </c>
      <c r="D42" s="1" t="s">
        <v>22</v>
      </c>
      <c r="E42" s="1" t="s">
        <v>23</v>
      </c>
      <c r="F42" s="1">
        <v>9555</v>
      </c>
      <c r="G42" s="1">
        <v>4714</v>
      </c>
      <c r="H42" s="1">
        <v>130</v>
      </c>
      <c r="I42" s="1" t="s">
        <v>34</v>
      </c>
      <c r="J42" s="1">
        <v>25</v>
      </c>
      <c r="K42" s="1" t="s">
        <v>41</v>
      </c>
      <c r="L42" s="1">
        <v>877</v>
      </c>
      <c r="M42" s="1">
        <v>438.5</v>
      </c>
      <c r="N42" s="1">
        <v>53</v>
      </c>
      <c r="O42" s="1" t="s">
        <v>26</v>
      </c>
      <c r="P42" s="1" t="s">
        <v>46</v>
      </c>
      <c r="Q42" s="1">
        <v>7</v>
      </c>
      <c r="R42" s="1" t="s">
        <v>47</v>
      </c>
      <c r="S42" s="1">
        <v>3183</v>
      </c>
      <c r="T42" s="5">
        <f>Tabela1[[#This Row],[investimento]]/Tabela1[[#This Row],[leads_gerados]]</f>
        <v>73.5</v>
      </c>
      <c r="U42" s="5">
        <f>VLOOKUP(Tabela1[[#This Row],[canal_aquisicao]],Tabela2[#All],2,0)</f>
        <v>23467.142857142859</v>
      </c>
      <c r="V42" s="1" t="str">
        <f t="shared" si="4"/>
        <v>Não Qualificado</v>
      </c>
      <c r="W42" s="1" t="str">
        <f>VLOOKUP(C42,Tabela5[#All],2,0)</f>
        <v>Awareness</v>
      </c>
      <c r="X42" s="14" t="str">
        <f t="shared" si="5"/>
        <v>Baixo</v>
      </c>
      <c r="Y42" s="17" t="str">
        <f t="shared" si="6"/>
        <v>Alto</v>
      </c>
      <c r="Z42" s="17" t="str">
        <f t="shared" si="7"/>
        <v>Sênior</v>
      </c>
      <c r="AA42" s="17" t="str">
        <f>IF($AG$10&gt;=Tabela1[[#This Row],[investimento]]&gt;=$AG$11,"OK","Outlier")</f>
        <v>OK</v>
      </c>
      <c r="AB42" s="17" t="str">
        <f>IF($AG$17&gt;=Tabela1[[#This Row],[visitantes]]&gt;=$AG$18,"OK","Outlier")</f>
        <v>OK</v>
      </c>
      <c r="AC42" s="17" t="str">
        <f>IF($AG$24&gt;=Tabela1[[#This Row],[leads_gerados]]&gt;=$AG$25,"OK","Outlier")</f>
        <v>OK</v>
      </c>
      <c r="AD42" s="17" t="str">
        <f>IF($AG$31&gt;=Tabela1[[#This Row],[ltv_estimado]]&gt;=$AG$32,"OK","Outlier")</f>
        <v>OK</v>
      </c>
      <c r="AE42" s="17"/>
    </row>
    <row r="43" spans="1:33" ht="15.75" customHeight="1" x14ac:dyDescent="0.25">
      <c r="A43" s="1" t="s">
        <v>74</v>
      </c>
      <c r="B43" s="2">
        <v>45590</v>
      </c>
      <c r="C43" s="1" t="s">
        <v>39</v>
      </c>
      <c r="D43" s="1" t="s">
        <v>22</v>
      </c>
      <c r="E43" s="1" t="s">
        <v>24</v>
      </c>
      <c r="F43" s="1">
        <v>16413</v>
      </c>
      <c r="G43" s="1">
        <v>2423</v>
      </c>
      <c r="H43" s="1">
        <v>175</v>
      </c>
      <c r="I43" s="1" t="s">
        <v>34</v>
      </c>
      <c r="J43" s="1">
        <v>12</v>
      </c>
      <c r="K43" s="1" t="s">
        <v>41</v>
      </c>
      <c r="L43" s="1">
        <v>732</v>
      </c>
      <c r="M43" s="1">
        <v>366</v>
      </c>
      <c r="N43" s="1">
        <v>39</v>
      </c>
      <c r="O43" s="1" t="s">
        <v>42</v>
      </c>
      <c r="P43" s="1" t="s">
        <v>51</v>
      </c>
      <c r="Q43" s="1">
        <v>64</v>
      </c>
      <c r="R43" s="1" t="s">
        <v>47</v>
      </c>
      <c r="S43" s="1">
        <v>895</v>
      </c>
      <c r="T43" s="5">
        <f>Tabela1[[#This Row],[investimento]]/Tabela1[[#This Row],[leads_gerados]]</f>
        <v>93.78857142857143</v>
      </c>
      <c r="U43" s="5">
        <f>VLOOKUP(Tabela1[[#This Row],[canal_aquisicao]],Tabela2[#All],2,0)</f>
        <v>23256.714285714286</v>
      </c>
      <c r="V43" s="1" t="str">
        <f t="shared" si="4"/>
        <v>Não Qualificado</v>
      </c>
      <c r="W43" s="1" t="str">
        <f>VLOOKUP(C43,Tabela5[#All],2,0)</f>
        <v>Awareness</v>
      </c>
      <c r="X43" s="14" t="str">
        <f t="shared" si="5"/>
        <v>Médio</v>
      </c>
      <c r="Y43" s="17" t="str">
        <f t="shared" si="6"/>
        <v>Médio</v>
      </c>
      <c r="Z43" s="17" t="str">
        <f t="shared" si="7"/>
        <v>Adulto</v>
      </c>
      <c r="AA43" s="17" t="str">
        <f>IF($AG$10&gt;=Tabela1[[#This Row],[investimento]]&gt;=$AG$11,"OK","Outlier")</f>
        <v>OK</v>
      </c>
      <c r="AB43" s="17" t="str">
        <f>IF($AG$17&gt;=Tabela1[[#This Row],[visitantes]]&gt;=$AG$18,"OK","Outlier")</f>
        <v>OK</v>
      </c>
      <c r="AC43" s="17" t="str">
        <f>IF($AG$24&gt;=Tabela1[[#This Row],[leads_gerados]]&gt;=$AG$25,"OK","Outlier")</f>
        <v>OK</v>
      </c>
      <c r="AD43" s="17" t="str">
        <f>IF($AG$31&gt;=Tabela1[[#This Row],[ltv_estimado]]&gt;=$AG$32,"OK","Outlier")</f>
        <v>OK</v>
      </c>
      <c r="AE43" s="17"/>
    </row>
    <row r="44" spans="1:33" ht="15.75" customHeight="1" x14ac:dyDescent="0.25">
      <c r="A44" s="1" t="s">
        <v>64</v>
      </c>
      <c r="B44" s="2">
        <v>45524</v>
      </c>
      <c r="C44" s="1" t="s">
        <v>31</v>
      </c>
      <c r="D44" s="1" t="s">
        <v>22</v>
      </c>
      <c r="E44" s="1" t="s">
        <v>23</v>
      </c>
      <c r="F44" s="1">
        <v>6655</v>
      </c>
      <c r="G44" s="1">
        <v>2549</v>
      </c>
      <c r="H44" s="1">
        <v>139</v>
      </c>
      <c r="I44" s="1" t="s">
        <v>40</v>
      </c>
      <c r="J44" s="1">
        <v>23</v>
      </c>
      <c r="K44" s="1" t="s">
        <v>41</v>
      </c>
      <c r="L44" s="1">
        <v>842</v>
      </c>
      <c r="M44" s="1">
        <v>842</v>
      </c>
      <c r="N44">
        <v>38</v>
      </c>
      <c r="O44" s="1" t="s">
        <v>26</v>
      </c>
      <c r="P44" s="1" t="s">
        <v>46</v>
      </c>
      <c r="Q44" s="1">
        <v>70</v>
      </c>
      <c r="R44" s="1" t="s">
        <v>37</v>
      </c>
      <c r="S44" s="1">
        <v>676</v>
      </c>
      <c r="T44" s="5">
        <f>Tabela1[[#This Row],[investimento]]/Tabela1[[#This Row],[leads_gerados]]</f>
        <v>47.877697841726622</v>
      </c>
      <c r="U44" s="5">
        <f>VLOOKUP(Tabela1[[#This Row],[canal_aquisicao]],Tabela2[#All],2,0)</f>
        <v>20204</v>
      </c>
      <c r="V44" s="1" t="str">
        <f t="shared" si="4"/>
        <v>Qualificado</v>
      </c>
      <c r="W44" s="1" t="str">
        <f>VLOOKUP(C44,Tabela5[#All],2,0)</f>
        <v>Intenção de Compra</v>
      </c>
      <c r="X44" s="14" t="str">
        <f t="shared" si="5"/>
        <v>Alto</v>
      </c>
      <c r="Y44" s="17" t="str">
        <f t="shared" si="6"/>
        <v>Alto</v>
      </c>
      <c r="Z44" s="17" t="str">
        <f t="shared" si="7"/>
        <v>Adulto</v>
      </c>
      <c r="AA44" s="17" t="str">
        <f>IF($AG$10&gt;=Tabela1[[#This Row],[investimento]]&gt;=$AG$11,"OK","Outlier")</f>
        <v>OK</v>
      </c>
      <c r="AB44" s="17" t="str">
        <f>IF($AG$17&gt;=Tabela1[[#This Row],[visitantes]]&gt;=$AG$18,"OK","Outlier")</f>
        <v>OK</v>
      </c>
      <c r="AC44" s="17" t="str">
        <f>IF($AG$24&gt;=Tabela1[[#This Row],[leads_gerados]]&gt;=$AG$25,"OK","Outlier")</f>
        <v>OK</v>
      </c>
      <c r="AD44" s="17" t="str">
        <f>IF($AG$31&gt;=Tabela1[[#This Row],[ltv_estimado]]&gt;=$AG$32,"OK","Outlier")</f>
        <v>OK</v>
      </c>
      <c r="AE44" s="17"/>
    </row>
    <row r="45" spans="1:33" ht="15.75" customHeight="1" x14ac:dyDescent="0.25">
      <c r="A45" s="1" t="s">
        <v>78</v>
      </c>
      <c r="B45" s="2">
        <v>45774</v>
      </c>
      <c r="C45" s="1" t="s">
        <v>54</v>
      </c>
      <c r="D45" s="1" t="s">
        <v>22</v>
      </c>
      <c r="E45" s="1" t="s">
        <v>50</v>
      </c>
      <c r="F45" s="1">
        <v>18749</v>
      </c>
      <c r="G45" s="1">
        <v>3889</v>
      </c>
      <c r="H45" s="1">
        <v>142</v>
      </c>
      <c r="I45" s="1" t="s">
        <v>63</v>
      </c>
      <c r="J45" s="1">
        <v>22</v>
      </c>
      <c r="K45" s="1" t="s">
        <v>25</v>
      </c>
      <c r="L45" s="1">
        <v>0</v>
      </c>
      <c r="M45" s="1">
        <v>0</v>
      </c>
      <c r="N45" s="1">
        <v>41</v>
      </c>
      <c r="O45" s="1" t="s">
        <v>42</v>
      </c>
      <c r="P45" s="1" t="s">
        <v>46</v>
      </c>
      <c r="Q45" s="1">
        <v>36</v>
      </c>
      <c r="R45" s="1" t="s">
        <v>29</v>
      </c>
      <c r="S45" s="1">
        <v>1266</v>
      </c>
      <c r="T45" s="5">
        <f>Tabela1[[#This Row],[investimento]]/Tabela1[[#This Row],[leads_gerados]]</f>
        <v>132.03521126760563</v>
      </c>
      <c r="U45" s="5">
        <f>VLOOKUP(Tabela1[[#This Row],[canal_aquisicao]],Tabela2[#All],2,0)</f>
        <v>23467.142857142859</v>
      </c>
      <c r="V45" s="1" t="str">
        <f t="shared" si="4"/>
        <v>Não Qualificado</v>
      </c>
      <c r="W45" s="1" t="str">
        <f>VLOOKUP(C45,Tabela5[#All],2,0)</f>
        <v>Awareness</v>
      </c>
      <c r="X45" s="14" t="str">
        <f t="shared" si="5"/>
        <v>Baixo</v>
      </c>
      <c r="Y45" s="17" t="str">
        <f t="shared" si="6"/>
        <v>Sem Compra</v>
      </c>
      <c r="Z45" s="17" t="str">
        <f t="shared" si="7"/>
        <v>Sênior</v>
      </c>
      <c r="AA45" s="17" t="str">
        <f>IF($AG$10&gt;=Tabela1[[#This Row],[investimento]]&gt;=$AG$11,"OK","Outlier")</f>
        <v>OK</v>
      </c>
      <c r="AB45" s="17" t="str">
        <f>IF($AG$17&gt;=Tabela1[[#This Row],[visitantes]]&gt;=$AG$18,"OK","Outlier")</f>
        <v>OK</v>
      </c>
      <c r="AC45" s="17" t="str">
        <f>IF($AG$24&gt;=Tabela1[[#This Row],[leads_gerados]]&gt;=$AG$25,"OK","Outlier")</f>
        <v>OK</v>
      </c>
      <c r="AD45" s="17" t="str">
        <f>IF($AG$31&gt;=Tabela1[[#This Row],[ltv_estimado]]&gt;=$AG$32,"OK","Outlier")</f>
        <v>OK</v>
      </c>
      <c r="AE45" s="17"/>
    </row>
    <row r="46" spans="1:33" ht="15.75" customHeight="1" x14ac:dyDescent="0.25">
      <c r="A46" s="1" t="s">
        <v>79</v>
      </c>
      <c r="B46" s="2">
        <v>45574</v>
      </c>
      <c r="C46" s="1" t="s">
        <v>54</v>
      </c>
      <c r="D46" s="1" t="s">
        <v>22</v>
      </c>
      <c r="E46" s="1" t="s">
        <v>50</v>
      </c>
      <c r="F46" s="1">
        <v>13347</v>
      </c>
      <c r="G46" s="1">
        <v>1124</v>
      </c>
      <c r="H46" s="1">
        <v>117</v>
      </c>
      <c r="I46" s="1" t="s">
        <v>34</v>
      </c>
      <c r="J46" s="1">
        <v>27</v>
      </c>
      <c r="K46" s="1" t="s">
        <v>25</v>
      </c>
      <c r="L46" s="1">
        <v>0</v>
      </c>
      <c r="M46" s="1">
        <v>0</v>
      </c>
      <c r="N46" s="1">
        <v>40</v>
      </c>
      <c r="O46" s="1" t="s">
        <v>26</v>
      </c>
      <c r="P46" s="1" t="s">
        <v>46</v>
      </c>
      <c r="Q46" s="1">
        <v>79</v>
      </c>
      <c r="R46" s="1" t="s">
        <v>29</v>
      </c>
      <c r="S46" s="1">
        <v>4231</v>
      </c>
      <c r="T46" s="5">
        <f>Tabela1[[#This Row],[investimento]]/Tabela1[[#This Row],[leads_gerados]]</f>
        <v>114.07692307692308</v>
      </c>
      <c r="U46" s="5">
        <f>VLOOKUP(Tabela1[[#This Row],[canal_aquisicao]],Tabela2[#All],2,0)</f>
        <v>23467.142857142859</v>
      </c>
      <c r="V46" s="1" t="str">
        <f t="shared" si="4"/>
        <v>Qualificado</v>
      </c>
      <c r="W46" s="1" t="str">
        <f>VLOOKUP(C46,Tabela5[#All],2,0)</f>
        <v>Awareness</v>
      </c>
      <c r="X46" s="14" t="str">
        <f t="shared" si="5"/>
        <v>Alto</v>
      </c>
      <c r="Y46" s="17" t="str">
        <f t="shared" si="6"/>
        <v>Sem Compra</v>
      </c>
      <c r="Z46" s="17" t="str">
        <f t="shared" si="7"/>
        <v>Adulto</v>
      </c>
      <c r="AA46" s="17" t="str">
        <f>IF($AG$10&gt;=Tabela1[[#This Row],[investimento]]&gt;=$AG$11,"OK","Outlier")</f>
        <v>OK</v>
      </c>
      <c r="AB46" s="17" t="str">
        <f>IF($AG$17&gt;=Tabela1[[#This Row],[visitantes]]&gt;=$AG$18,"OK","Outlier")</f>
        <v>OK</v>
      </c>
      <c r="AC46" s="17" t="str">
        <f>IF($AG$24&gt;=Tabela1[[#This Row],[leads_gerados]]&gt;=$AG$25,"OK","Outlier")</f>
        <v>OK</v>
      </c>
      <c r="AD46" s="17" t="str">
        <f>IF($AG$31&gt;=Tabela1[[#This Row],[ltv_estimado]]&gt;=$AG$32,"OK","Outlier")</f>
        <v>OK</v>
      </c>
      <c r="AE46" s="17"/>
    </row>
    <row r="47" spans="1:33" ht="15.75" customHeight="1" x14ac:dyDescent="0.25">
      <c r="A47" s="1" t="s">
        <v>87</v>
      </c>
      <c r="B47" s="2">
        <v>45615</v>
      </c>
      <c r="C47" s="1" t="s">
        <v>31</v>
      </c>
      <c r="D47" s="1" t="s">
        <v>22</v>
      </c>
      <c r="E47" s="1" t="s">
        <v>50</v>
      </c>
      <c r="F47" s="1">
        <v>13271</v>
      </c>
      <c r="G47" s="1">
        <v>4090</v>
      </c>
      <c r="H47" s="1">
        <v>285</v>
      </c>
      <c r="I47" s="1" t="s">
        <v>63</v>
      </c>
      <c r="J47" s="1">
        <v>20</v>
      </c>
      <c r="K47" s="1" t="s">
        <v>25</v>
      </c>
      <c r="L47" s="1">
        <v>0</v>
      </c>
      <c r="M47" s="1">
        <v>0</v>
      </c>
      <c r="N47" s="1">
        <v>36</v>
      </c>
      <c r="O47" s="1" t="s">
        <v>26</v>
      </c>
      <c r="P47" s="1" t="s">
        <v>46</v>
      </c>
      <c r="Q47" s="1">
        <v>87</v>
      </c>
      <c r="R47" s="1" t="s">
        <v>29</v>
      </c>
      <c r="S47" s="1">
        <v>2156</v>
      </c>
      <c r="T47" s="5">
        <f>Tabela1[[#This Row],[investimento]]/Tabela1[[#This Row],[leads_gerados]]</f>
        <v>46.564912280701755</v>
      </c>
      <c r="U47" s="5">
        <f>VLOOKUP(Tabela1[[#This Row],[canal_aquisicao]],Tabela2[#All],2,0)</f>
        <v>20204</v>
      </c>
      <c r="V47" s="1" t="str">
        <f t="shared" si="4"/>
        <v>Qualificado</v>
      </c>
      <c r="W47" s="1" t="str">
        <f>VLOOKUP(C47,Tabela5[#All],2,0)</f>
        <v>Intenção de Compra</v>
      </c>
      <c r="X47" s="14" t="str">
        <f t="shared" si="5"/>
        <v>Alto</v>
      </c>
      <c r="Y47" s="17" t="str">
        <f t="shared" si="6"/>
        <v>Sem Compra</v>
      </c>
      <c r="Z47" s="17" t="str">
        <f t="shared" si="7"/>
        <v>Adulto</v>
      </c>
      <c r="AA47" s="17" t="str">
        <f>IF($AG$10&gt;=Tabela1[[#This Row],[investimento]]&gt;=$AG$11,"OK","Outlier")</f>
        <v>OK</v>
      </c>
      <c r="AB47" s="17" t="str">
        <f>IF($AG$17&gt;=Tabela1[[#This Row],[visitantes]]&gt;=$AG$18,"OK","Outlier")</f>
        <v>OK</v>
      </c>
      <c r="AC47" s="17" t="str">
        <f>IF($AG$24&gt;=Tabela1[[#This Row],[leads_gerados]]&gt;=$AG$25,"OK","Outlier")</f>
        <v>OK</v>
      </c>
      <c r="AD47" s="17" t="str">
        <f>IF($AG$31&gt;=Tabela1[[#This Row],[ltv_estimado]]&gt;=$AG$32,"OK","Outlier")</f>
        <v>OK</v>
      </c>
      <c r="AE47" s="17"/>
    </row>
    <row r="48" spans="1:33" ht="15.75" customHeight="1" x14ac:dyDescent="0.25">
      <c r="A48" s="1" t="s">
        <v>92</v>
      </c>
      <c r="B48" s="2">
        <v>45695</v>
      </c>
      <c r="C48" s="1" t="s">
        <v>57</v>
      </c>
      <c r="D48" s="1" t="s">
        <v>22</v>
      </c>
      <c r="E48" s="1" t="s">
        <v>33</v>
      </c>
      <c r="F48" s="1">
        <v>4317</v>
      </c>
      <c r="G48" s="1">
        <v>3745</v>
      </c>
      <c r="H48" s="1">
        <v>22</v>
      </c>
      <c r="I48" s="1" t="s">
        <v>58</v>
      </c>
      <c r="J48" s="1">
        <v>12</v>
      </c>
      <c r="K48" s="1" t="s">
        <v>25</v>
      </c>
      <c r="L48" s="1">
        <v>0</v>
      </c>
      <c r="M48" s="1">
        <v>0</v>
      </c>
      <c r="N48" s="1">
        <v>26</v>
      </c>
      <c r="O48" s="1" t="s">
        <v>42</v>
      </c>
      <c r="P48" s="1" t="s">
        <v>51</v>
      </c>
      <c r="Q48" s="1">
        <v>81</v>
      </c>
      <c r="R48" s="1" t="s">
        <v>37</v>
      </c>
      <c r="S48" s="1">
        <v>4389</v>
      </c>
      <c r="T48" s="5">
        <f>Tabela1[[#This Row],[investimento]]/Tabela1[[#This Row],[leads_gerados]]</f>
        <v>196.22727272727272</v>
      </c>
      <c r="U48" s="5">
        <f>VLOOKUP(Tabela1[[#This Row],[canal_aquisicao]],Tabela2[#All],2,0)</f>
        <v>22207.375</v>
      </c>
      <c r="V48" s="1" t="str">
        <f t="shared" si="4"/>
        <v>Qualificado</v>
      </c>
      <c r="W48" s="1" t="str">
        <f>VLOOKUP(C48,Tabela5[#All],2,0)</f>
        <v>Intenção de Compra</v>
      </c>
      <c r="X48" s="14" t="str">
        <f t="shared" si="5"/>
        <v>Alto</v>
      </c>
      <c r="Y48" s="17" t="str">
        <f t="shared" si="6"/>
        <v>Sem Compra</v>
      </c>
      <c r="Z48" s="17" t="str">
        <f t="shared" si="7"/>
        <v>Adulto</v>
      </c>
      <c r="AA48" s="17" t="str">
        <f>IF($AG$10&gt;=Tabela1[[#This Row],[investimento]]&gt;=$AG$11,"OK","Outlier")</f>
        <v>OK</v>
      </c>
      <c r="AB48" s="17" t="str">
        <f>IF($AG$17&gt;=Tabela1[[#This Row],[visitantes]]&gt;=$AG$18,"OK","Outlier")</f>
        <v>OK</v>
      </c>
      <c r="AC48" s="17" t="str">
        <f>IF($AG$24&gt;=Tabela1[[#This Row],[leads_gerados]]&gt;=$AG$25,"OK","Outlier")</f>
        <v>OK</v>
      </c>
      <c r="AD48" s="17" t="str">
        <f>IF($AG$31&gt;=Tabela1[[#This Row],[ltv_estimado]]&gt;=$AG$32,"OK","Outlier")</f>
        <v>OK</v>
      </c>
      <c r="AE48" s="17"/>
    </row>
    <row r="49" spans="1:31" ht="15.75" customHeight="1" x14ac:dyDescent="0.25">
      <c r="A49" s="1" t="s">
        <v>30</v>
      </c>
      <c r="B49" s="2">
        <v>45367</v>
      </c>
      <c r="C49" s="1" t="s">
        <v>31</v>
      </c>
      <c r="D49" s="1" t="s">
        <v>22</v>
      </c>
      <c r="E49" s="1" t="s">
        <v>24</v>
      </c>
      <c r="F49" s="1">
        <v>18474</v>
      </c>
      <c r="G49" s="1">
        <v>442</v>
      </c>
      <c r="H49" s="1">
        <v>54</v>
      </c>
      <c r="I49" s="1" t="s">
        <v>55</v>
      </c>
      <c r="J49" s="1">
        <v>18</v>
      </c>
      <c r="K49" s="1" t="s">
        <v>25</v>
      </c>
      <c r="L49" s="1">
        <v>0</v>
      </c>
      <c r="M49" s="1">
        <v>0</v>
      </c>
      <c r="N49">
        <v>40</v>
      </c>
      <c r="O49" s="1" t="s">
        <v>42</v>
      </c>
      <c r="P49" s="1" t="s">
        <v>59</v>
      </c>
      <c r="Q49" s="1">
        <v>98</v>
      </c>
      <c r="R49" s="1" t="s">
        <v>37</v>
      </c>
      <c r="S49" s="1">
        <v>809</v>
      </c>
      <c r="T49" s="5">
        <f>Tabela1[[#This Row],[investimento]]/Tabela1[[#This Row],[leads_gerados]]</f>
        <v>342.11111111111109</v>
      </c>
      <c r="U49" s="5">
        <f>VLOOKUP(Tabela1[[#This Row],[canal_aquisicao]],Tabela2[#All],2,0)</f>
        <v>20204</v>
      </c>
      <c r="V49" s="1" t="str">
        <f t="shared" si="4"/>
        <v>Qualificado</v>
      </c>
      <c r="W49" s="1" t="str">
        <f>VLOOKUP(C49,Tabela5[#All],2,0)</f>
        <v>Intenção de Compra</v>
      </c>
      <c r="X49" s="14" t="str">
        <f t="shared" si="5"/>
        <v>Alto</v>
      </c>
      <c r="Y49" s="17" t="str">
        <f t="shared" si="6"/>
        <v>Sem Compra</v>
      </c>
      <c r="Z49" s="17" t="str">
        <f t="shared" si="7"/>
        <v>Adulto</v>
      </c>
      <c r="AA49" s="17" t="str">
        <f>IF($AG$10&gt;=Tabela1[[#This Row],[investimento]]&gt;=$AG$11,"OK","Outlier")</f>
        <v>OK</v>
      </c>
      <c r="AB49" s="17" t="str">
        <f>IF($AG$17&gt;=Tabela1[[#This Row],[visitantes]]&gt;=$AG$18,"OK","Outlier")</f>
        <v>OK</v>
      </c>
      <c r="AC49" s="17" t="str">
        <f>IF($AG$24&gt;=Tabela1[[#This Row],[leads_gerados]]&gt;=$AG$25,"OK","Outlier")</f>
        <v>OK</v>
      </c>
      <c r="AD49" s="17" t="str">
        <f>IF($AG$31&gt;=Tabela1[[#This Row],[ltv_estimado]]&gt;=$AG$32,"OK","Outlier")</f>
        <v>OK</v>
      </c>
      <c r="AE49" s="17"/>
    </row>
    <row r="50" spans="1:31" ht="15.75" customHeight="1" x14ac:dyDescent="0.25">
      <c r="A50" s="1" t="s">
        <v>65</v>
      </c>
      <c r="B50" s="2">
        <v>45650</v>
      </c>
      <c r="C50" s="1" t="s">
        <v>57</v>
      </c>
      <c r="D50" s="1" t="s">
        <v>22</v>
      </c>
      <c r="E50" s="1" t="s">
        <v>50</v>
      </c>
      <c r="F50" s="1">
        <v>3119</v>
      </c>
      <c r="G50" s="1">
        <v>2097</v>
      </c>
      <c r="H50" s="1">
        <v>175</v>
      </c>
      <c r="I50" s="1" t="s">
        <v>24</v>
      </c>
      <c r="J50" s="1">
        <v>25</v>
      </c>
      <c r="K50" s="1" t="s">
        <v>25</v>
      </c>
      <c r="L50" s="1">
        <v>0</v>
      </c>
      <c r="M50" s="1">
        <v>0</v>
      </c>
      <c r="N50" s="1">
        <v>32</v>
      </c>
      <c r="O50" s="1" t="s">
        <v>26</v>
      </c>
      <c r="P50" s="1" t="s">
        <v>59</v>
      </c>
      <c r="Q50" s="1">
        <v>23</v>
      </c>
      <c r="R50" s="1" t="s">
        <v>37</v>
      </c>
      <c r="S50" s="1">
        <v>5210</v>
      </c>
      <c r="T50" s="5">
        <f>Tabela1[[#This Row],[investimento]]/Tabela1[[#This Row],[leads_gerados]]</f>
        <v>17.822857142857142</v>
      </c>
      <c r="U50" s="5">
        <f>VLOOKUP(Tabela1[[#This Row],[canal_aquisicao]],Tabela2[#All],2,0)</f>
        <v>22207.375</v>
      </c>
      <c r="V50" s="1" t="str">
        <f t="shared" si="4"/>
        <v>Não Qualificado</v>
      </c>
      <c r="W50" s="1" t="str">
        <f>VLOOKUP(C50,Tabela5[#All],2,0)</f>
        <v>Intenção de Compra</v>
      </c>
      <c r="X50" s="14" t="str">
        <f t="shared" si="5"/>
        <v>Baixo</v>
      </c>
      <c r="Y50" s="17" t="str">
        <f t="shared" si="6"/>
        <v>Sem Compra</v>
      </c>
      <c r="Z50" s="17" t="str">
        <f t="shared" si="7"/>
        <v>Adulto</v>
      </c>
      <c r="AA50" s="17" t="str">
        <f>IF($AG$10&gt;=Tabela1[[#This Row],[investimento]]&gt;=$AG$11,"OK","Outlier")</f>
        <v>OK</v>
      </c>
      <c r="AB50" s="17" t="str">
        <f>IF($AG$17&gt;=Tabela1[[#This Row],[visitantes]]&gt;=$AG$18,"OK","Outlier")</f>
        <v>OK</v>
      </c>
      <c r="AC50" s="17" t="str">
        <f>IF($AG$24&gt;=Tabela1[[#This Row],[leads_gerados]]&gt;=$AG$25,"OK","Outlier")</f>
        <v>OK</v>
      </c>
      <c r="AD50" s="17" t="str">
        <f>IF($AG$31&gt;=Tabela1[[#This Row],[ltv_estimado]]&gt;=$AG$32,"OK","Outlier")</f>
        <v>OK</v>
      </c>
      <c r="AE50" s="17"/>
    </row>
    <row r="51" spans="1:31" ht="15.75" customHeight="1" x14ac:dyDescent="0.25">
      <c r="A51" s="1" t="s">
        <v>71</v>
      </c>
      <c r="B51" s="2">
        <v>45496</v>
      </c>
      <c r="C51" s="1" t="s">
        <v>54</v>
      </c>
      <c r="D51" s="1" t="s">
        <v>22</v>
      </c>
      <c r="E51" s="1" t="s">
        <v>23</v>
      </c>
      <c r="F51" s="1">
        <v>5587</v>
      </c>
      <c r="G51" s="1">
        <v>2110</v>
      </c>
      <c r="H51" s="1">
        <v>238</v>
      </c>
      <c r="I51" s="1" t="s">
        <v>58</v>
      </c>
      <c r="J51" s="1">
        <v>4</v>
      </c>
      <c r="K51" s="1" t="s">
        <v>25</v>
      </c>
      <c r="L51" s="1">
        <v>0</v>
      </c>
      <c r="M51" s="1">
        <v>0</v>
      </c>
      <c r="N51">
        <v>38</v>
      </c>
      <c r="O51" s="1" t="s">
        <v>26</v>
      </c>
      <c r="P51" s="1" t="s">
        <v>46</v>
      </c>
      <c r="Q51" s="1">
        <v>81</v>
      </c>
      <c r="R51" s="1" t="s">
        <v>37</v>
      </c>
      <c r="S51" s="1">
        <v>2240</v>
      </c>
      <c r="T51" s="5">
        <f>Tabela1[[#This Row],[investimento]]/Tabela1[[#This Row],[leads_gerados]]</f>
        <v>23.474789915966387</v>
      </c>
      <c r="U51" s="5">
        <f>VLOOKUP(Tabela1[[#This Row],[canal_aquisicao]],Tabela2[#All],2,0)</f>
        <v>23467.142857142859</v>
      </c>
      <c r="V51" s="1" t="str">
        <f t="shared" si="4"/>
        <v>Qualificado</v>
      </c>
      <c r="W51" s="1" t="str">
        <f>VLOOKUP(C51,Tabela5[#All],2,0)</f>
        <v>Awareness</v>
      </c>
      <c r="X51" s="14" t="str">
        <f t="shared" si="5"/>
        <v>Alto</v>
      </c>
      <c r="Y51" s="17" t="str">
        <f t="shared" si="6"/>
        <v>Sem Compra</v>
      </c>
      <c r="Z51" s="17" t="str">
        <f t="shared" si="7"/>
        <v>Adulto</v>
      </c>
      <c r="AA51" s="17" t="str">
        <f>IF($AG$10&gt;=Tabela1[[#This Row],[investimento]]&gt;=$AG$11,"OK","Outlier")</f>
        <v>OK</v>
      </c>
      <c r="AB51" s="17" t="str">
        <f>IF($AG$17&gt;=Tabela1[[#This Row],[visitantes]]&gt;=$AG$18,"OK","Outlier")</f>
        <v>OK</v>
      </c>
      <c r="AC51" s="17" t="str">
        <f>IF($AG$24&gt;=Tabela1[[#This Row],[leads_gerados]]&gt;=$AG$25,"OK","Outlier")</f>
        <v>OK</v>
      </c>
      <c r="AD51" s="17" t="str">
        <f>IF($AG$31&gt;=Tabela1[[#This Row],[ltv_estimado]]&gt;=$AG$32,"OK","Outlier")</f>
        <v>OK</v>
      </c>
      <c r="AE51" s="17"/>
    </row>
    <row r="52" spans="1:31" ht="15.75" customHeight="1" x14ac:dyDescent="0.25">
      <c r="A52" s="1" t="s">
        <v>100</v>
      </c>
      <c r="B52" s="2">
        <v>45688</v>
      </c>
      <c r="C52" s="1" t="s">
        <v>57</v>
      </c>
      <c r="D52" s="1" t="s">
        <v>22</v>
      </c>
      <c r="E52" s="1" t="s">
        <v>24</v>
      </c>
      <c r="F52" s="1">
        <v>13763</v>
      </c>
      <c r="G52" s="1">
        <v>4098</v>
      </c>
      <c r="H52" s="1">
        <v>113</v>
      </c>
      <c r="I52" s="1" t="s">
        <v>34</v>
      </c>
      <c r="J52" s="1">
        <v>37</v>
      </c>
      <c r="K52" s="1" t="s">
        <v>41</v>
      </c>
      <c r="L52" s="1">
        <v>765</v>
      </c>
      <c r="M52" s="1">
        <v>765</v>
      </c>
      <c r="N52" s="1">
        <v>38</v>
      </c>
      <c r="O52" s="1" t="s">
        <v>26</v>
      </c>
      <c r="P52" s="1" t="s">
        <v>46</v>
      </c>
      <c r="Q52" s="1">
        <v>13</v>
      </c>
      <c r="R52" s="1" t="s">
        <v>29</v>
      </c>
      <c r="S52" s="1">
        <v>2970</v>
      </c>
      <c r="T52" s="5">
        <f>Tabela1[[#This Row],[investimento]]/Tabela1[[#This Row],[leads_gerados]]</f>
        <v>121.79646017699115</v>
      </c>
      <c r="U52" s="5">
        <f>VLOOKUP(Tabela1[[#This Row],[canal_aquisicao]],Tabela2[#All],2,0)</f>
        <v>22207.375</v>
      </c>
      <c r="V52" s="1" t="str">
        <f t="shared" si="4"/>
        <v>Não Qualificado</v>
      </c>
      <c r="W52" s="1" t="str">
        <f>VLOOKUP(C52,Tabela5[#All],2,0)</f>
        <v>Intenção de Compra</v>
      </c>
      <c r="X52" s="14" t="str">
        <f t="shared" si="5"/>
        <v>Baixo</v>
      </c>
      <c r="Y52" s="17" t="str">
        <f t="shared" si="6"/>
        <v>Alto</v>
      </c>
      <c r="Z52" s="17" t="str">
        <f t="shared" si="7"/>
        <v>Adulto</v>
      </c>
      <c r="AA52" s="17" t="str">
        <f>IF($AG$10&gt;=Tabela1[[#This Row],[investimento]]&gt;=$AG$11,"OK","Outlier")</f>
        <v>OK</v>
      </c>
      <c r="AB52" s="17" t="str">
        <f>IF($AG$17&gt;=Tabela1[[#This Row],[visitantes]]&gt;=$AG$18,"OK","Outlier")</f>
        <v>OK</v>
      </c>
      <c r="AC52" s="17" t="str">
        <f>IF($AG$24&gt;=Tabela1[[#This Row],[leads_gerados]]&gt;=$AG$25,"OK","Outlier")</f>
        <v>OK</v>
      </c>
      <c r="AD52" s="17" t="str">
        <f>IF($AG$31&gt;=Tabela1[[#This Row],[ltv_estimado]]&gt;=$AG$32,"OK","Outlier")</f>
        <v>OK</v>
      </c>
      <c r="AE52" s="17"/>
    </row>
    <row r="53" spans="1:31" ht="15.75" customHeight="1" x14ac:dyDescent="0.25">
      <c r="A53" s="1" t="s">
        <v>101</v>
      </c>
      <c r="B53" s="2">
        <v>45546</v>
      </c>
      <c r="C53" s="1" t="s">
        <v>21</v>
      </c>
      <c r="D53" s="1" t="s">
        <v>22</v>
      </c>
      <c r="E53" s="1" t="s">
        <v>24</v>
      </c>
      <c r="F53" s="1">
        <v>6227</v>
      </c>
      <c r="G53" s="1">
        <v>4181</v>
      </c>
      <c r="H53" s="1">
        <v>187</v>
      </c>
      <c r="I53" s="1" t="s">
        <v>63</v>
      </c>
      <c r="J53" s="1">
        <v>29</v>
      </c>
      <c r="K53" s="1" t="s">
        <v>41</v>
      </c>
      <c r="L53" s="1">
        <v>693</v>
      </c>
      <c r="M53" s="1">
        <v>231</v>
      </c>
      <c r="N53">
        <v>38</v>
      </c>
      <c r="O53" s="1" t="s">
        <v>26</v>
      </c>
      <c r="P53" s="1" t="s">
        <v>46</v>
      </c>
      <c r="Q53" s="1">
        <v>48</v>
      </c>
      <c r="R53" s="1" t="s">
        <v>29</v>
      </c>
      <c r="S53" s="1">
        <v>2661</v>
      </c>
      <c r="T53" s="5">
        <f>Tabela1[[#This Row],[investimento]]/Tabela1[[#This Row],[leads_gerados]]</f>
        <v>33.299465240641709</v>
      </c>
      <c r="U53" s="5">
        <f>VLOOKUP(Tabela1[[#This Row],[canal_aquisicao]],Tabela2[#All],2,0)</f>
        <v>18122.25</v>
      </c>
      <c r="V53" s="1" t="str">
        <f t="shared" si="4"/>
        <v>Não Qualificado</v>
      </c>
      <c r="W53" s="1" t="str">
        <f>VLOOKUP(C53,Tabela5[#All],2,0)</f>
        <v>Intenção de Compra</v>
      </c>
      <c r="X53" s="14" t="str">
        <f t="shared" si="5"/>
        <v>Médio</v>
      </c>
      <c r="Y53" s="17" t="str">
        <f t="shared" si="6"/>
        <v>Médio</v>
      </c>
      <c r="Z53" s="17" t="str">
        <f t="shared" si="7"/>
        <v>Adulto</v>
      </c>
      <c r="AA53" s="17" t="str">
        <f>IF($AG$10&gt;=Tabela1[[#This Row],[investimento]]&gt;=$AG$11,"OK","Outlier")</f>
        <v>OK</v>
      </c>
      <c r="AB53" s="17" t="str">
        <f>IF($AG$17&gt;=Tabela1[[#This Row],[visitantes]]&gt;=$AG$18,"OK","Outlier")</f>
        <v>OK</v>
      </c>
      <c r="AC53" s="17" t="str">
        <f>IF($AG$24&gt;=Tabela1[[#This Row],[leads_gerados]]&gt;=$AG$25,"OK","Outlier")</f>
        <v>OK</v>
      </c>
      <c r="AD53" s="17" t="str">
        <f>IF($AG$31&gt;=Tabela1[[#This Row],[ltv_estimado]]&gt;=$AG$32,"OK","Outlier")</f>
        <v>OK</v>
      </c>
      <c r="AE53" s="17"/>
    </row>
    <row r="54" spans="1:31" ht="15.75" customHeight="1" x14ac:dyDescent="0.25">
      <c r="A54" s="1" t="s">
        <v>103</v>
      </c>
      <c r="B54" s="2">
        <v>45660</v>
      </c>
      <c r="C54" s="1" t="s">
        <v>31</v>
      </c>
      <c r="D54" s="1" t="s">
        <v>22</v>
      </c>
      <c r="E54" s="1" t="s">
        <v>24</v>
      </c>
      <c r="F54" s="1">
        <v>5521</v>
      </c>
      <c r="G54" s="1">
        <v>781</v>
      </c>
      <c r="H54" s="1">
        <v>170</v>
      </c>
      <c r="I54" s="1" t="s">
        <v>55</v>
      </c>
      <c r="J54" s="1">
        <v>24</v>
      </c>
      <c r="K54" s="1" t="s">
        <v>41</v>
      </c>
      <c r="L54" s="1">
        <v>407</v>
      </c>
      <c r="M54" s="1">
        <v>135.66999999999999</v>
      </c>
      <c r="N54" s="1">
        <v>44</v>
      </c>
      <c r="O54" s="1" t="s">
        <v>42</v>
      </c>
      <c r="P54" s="1" t="s">
        <v>46</v>
      </c>
      <c r="Q54" s="1">
        <v>99</v>
      </c>
      <c r="R54" s="1" t="s">
        <v>47</v>
      </c>
      <c r="S54" s="1">
        <v>5810</v>
      </c>
      <c r="T54" s="5">
        <f>Tabela1[[#This Row],[investimento]]/Tabela1[[#This Row],[leads_gerados]]</f>
        <v>32.476470588235294</v>
      </c>
      <c r="U54" s="5">
        <f>VLOOKUP(Tabela1[[#This Row],[canal_aquisicao]],Tabela2[#All],2,0)</f>
        <v>20204</v>
      </c>
      <c r="V54" s="1" t="str">
        <f t="shared" si="4"/>
        <v>Qualificado</v>
      </c>
      <c r="W54" s="1" t="str">
        <f>VLOOKUP(C54,Tabela5[#All],2,0)</f>
        <v>Intenção de Compra</v>
      </c>
      <c r="X54" s="14" t="str">
        <f t="shared" si="5"/>
        <v>Alto</v>
      </c>
      <c r="Y54" s="17" t="str">
        <f t="shared" si="6"/>
        <v>Baixo</v>
      </c>
      <c r="Z54" s="17" t="str">
        <f t="shared" si="7"/>
        <v>Sênior</v>
      </c>
      <c r="AA54" s="17" t="str">
        <f>IF($AG$10&gt;=Tabela1[[#This Row],[investimento]]&gt;=$AG$11,"OK","Outlier")</f>
        <v>OK</v>
      </c>
      <c r="AB54" s="17" t="str">
        <f>IF($AG$17&gt;=Tabela1[[#This Row],[visitantes]]&gt;=$AG$18,"OK","Outlier")</f>
        <v>OK</v>
      </c>
      <c r="AC54" s="17" t="str">
        <f>IF($AG$24&gt;=Tabela1[[#This Row],[leads_gerados]]&gt;=$AG$25,"OK","Outlier")</f>
        <v>OK</v>
      </c>
      <c r="AD54" s="17" t="str">
        <f>IF($AG$31&gt;=Tabela1[[#This Row],[ltv_estimado]]&gt;=$AG$32,"OK","Outlier")</f>
        <v>OK</v>
      </c>
      <c r="AE54" s="17"/>
    </row>
    <row r="55" spans="1:31" ht="15.75" customHeight="1" x14ac:dyDescent="0.25">
      <c r="A55" s="1" t="s">
        <v>108</v>
      </c>
      <c r="B55" s="2">
        <v>45503</v>
      </c>
      <c r="C55" s="1" t="s">
        <v>31</v>
      </c>
      <c r="D55" s="1" t="s">
        <v>22</v>
      </c>
      <c r="E55" s="1" t="s">
        <v>50</v>
      </c>
      <c r="F55" s="1">
        <v>2493</v>
      </c>
      <c r="G55" s="1">
        <v>3078</v>
      </c>
      <c r="H55" s="1">
        <v>114</v>
      </c>
      <c r="I55" s="1" t="s">
        <v>40</v>
      </c>
      <c r="J55" s="1">
        <v>28</v>
      </c>
      <c r="K55" s="1" t="s">
        <v>41</v>
      </c>
      <c r="L55" s="1">
        <v>883</v>
      </c>
      <c r="M55" s="1">
        <v>441.5</v>
      </c>
      <c r="N55">
        <v>38</v>
      </c>
      <c r="O55" s="1" t="s">
        <v>26</v>
      </c>
      <c r="P55" s="1" t="s">
        <v>46</v>
      </c>
      <c r="Q55" s="1">
        <v>90</v>
      </c>
      <c r="R55" s="1" t="s">
        <v>47</v>
      </c>
      <c r="S55" s="1">
        <v>3442</v>
      </c>
      <c r="T55" s="5">
        <f>Tabela1[[#This Row],[investimento]]/Tabela1[[#This Row],[leads_gerados]]</f>
        <v>21.868421052631579</v>
      </c>
      <c r="U55" s="5">
        <f>VLOOKUP(Tabela1[[#This Row],[canal_aquisicao]],Tabela2[#All],2,0)</f>
        <v>20204</v>
      </c>
      <c r="V55" s="1" t="str">
        <f t="shared" si="4"/>
        <v>Qualificado</v>
      </c>
      <c r="W55" s="1" t="str">
        <f>VLOOKUP(C55,Tabela5[#All],2,0)</f>
        <v>Intenção de Compra</v>
      </c>
      <c r="X55" s="14" t="str">
        <f t="shared" si="5"/>
        <v>Alto</v>
      </c>
      <c r="Y55" s="17" t="str">
        <f t="shared" si="6"/>
        <v>Alto</v>
      </c>
      <c r="Z55" s="17" t="str">
        <f t="shared" si="7"/>
        <v>Adulto</v>
      </c>
      <c r="AA55" s="17" t="str">
        <f>IF($AG$10&gt;=Tabela1[[#This Row],[investimento]]&gt;=$AG$11,"OK","Outlier")</f>
        <v>OK</v>
      </c>
      <c r="AB55" s="17" t="str">
        <f>IF($AG$17&gt;=Tabela1[[#This Row],[visitantes]]&gt;=$AG$18,"OK","Outlier")</f>
        <v>OK</v>
      </c>
      <c r="AC55" s="17" t="str">
        <f>IF($AG$24&gt;=Tabela1[[#This Row],[leads_gerados]]&gt;=$AG$25,"OK","Outlier")</f>
        <v>OK</v>
      </c>
      <c r="AD55" s="17" t="str">
        <f>IF($AG$31&gt;=Tabela1[[#This Row],[ltv_estimado]]&gt;=$AG$32,"OK","Outlier")</f>
        <v>OK</v>
      </c>
      <c r="AE55" s="17"/>
    </row>
    <row r="56" spans="1:31" ht="15.75" customHeight="1" x14ac:dyDescent="0.25">
      <c r="A56" s="1" t="s">
        <v>112</v>
      </c>
      <c r="B56" s="2">
        <v>45619</v>
      </c>
      <c r="C56" s="1" t="s">
        <v>21</v>
      </c>
      <c r="D56" s="1" t="s">
        <v>22</v>
      </c>
      <c r="E56" s="1" t="s">
        <v>23</v>
      </c>
      <c r="F56" s="1">
        <v>7999</v>
      </c>
      <c r="G56" s="1">
        <v>1150</v>
      </c>
      <c r="H56" s="1">
        <v>42</v>
      </c>
      <c r="I56" s="1" t="s">
        <v>55</v>
      </c>
      <c r="J56" s="1">
        <v>10</v>
      </c>
      <c r="K56" s="1" t="s">
        <v>25</v>
      </c>
      <c r="L56" s="1">
        <v>0</v>
      </c>
      <c r="M56" s="1">
        <v>0</v>
      </c>
      <c r="N56" s="1">
        <v>47</v>
      </c>
      <c r="O56" s="1" t="s">
        <v>42</v>
      </c>
      <c r="P56" s="1" t="s">
        <v>35</v>
      </c>
      <c r="Q56" s="1">
        <v>29</v>
      </c>
      <c r="R56" s="1" t="s">
        <v>47</v>
      </c>
      <c r="S56" s="1">
        <v>5140</v>
      </c>
      <c r="T56" s="5">
        <f>Tabela1[[#This Row],[investimento]]/Tabela1[[#This Row],[leads_gerados]]</f>
        <v>190.45238095238096</v>
      </c>
      <c r="U56" s="5">
        <f>VLOOKUP(Tabela1[[#This Row],[canal_aquisicao]],Tabela2[#All],2,0)</f>
        <v>18122.25</v>
      </c>
      <c r="V56" s="1" t="str">
        <f t="shared" si="4"/>
        <v>Não Qualificado</v>
      </c>
      <c r="W56" s="1" t="str">
        <f>VLOOKUP(C56,Tabela5[#All],2,0)</f>
        <v>Intenção de Compra</v>
      </c>
      <c r="X56" s="14" t="str">
        <f t="shared" si="5"/>
        <v>Baixo</v>
      </c>
      <c r="Y56" s="17" t="str">
        <f t="shared" si="6"/>
        <v>Sem Compra</v>
      </c>
      <c r="Z56" s="17" t="str">
        <f t="shared" si="7"/>
        <v>Sênior</v>
      </c>
      <c r="AA56" s="17" t="str">
        <f>IF($AG$10&gt;=Tabela1[[#This Row],[investimento]]&gt;=$AG$11,"OK","Outlier")</f>
        <v>OK</v>
      </c>
      <c r="AB56" s="17" t="str">
        <f>IF($AG$17&gt;=Tabela1[[#This Row],[visitantes]]&gt;=$AG$18,"OK","Outlier")</f>
        <v>OK</v>
      </c>
      <c r="AC56" s="17" t="str">
        <f>IF($AG$24&gt;=Tabela1[[#This Row],[leads_gerados]]&gt;=$AG$25,"OK","Outlier")</f>
        <v>OK</v>
      </c>
      <c r="AD56" s="17" t="str">
        <f>IF($AG$31&gt;=Tabela1[[#This Row],[ltv_estimado]]&gt;=$AG$32,"OK","Outlier")</f>
        <v>OK</v>
      </c>
      <c r="AE56" s="17"/>
    </row>
    <row r="57" spans="1:31" ht="15.75" customHeight="1" x14ac:dyDescent="0.25">
      <c r="A57" s="1" t="s">
        <v>83</v>
      </c>
      <c r="B57" s="2">
        <v>45671</v>
      </c>
      <c r="C57" s="1" t="s">
        <v>21</v>
      </c>
      <c r="D57" s="1" t="s">
        <v>22</v>
      </c>
      <c r="E57" s="1" t="s">
        <v>23</v>
      </c>
      <c r="F57" s="1">
        <v>1597</v>
      </c>
      <c r="G57" s="1">
        <v>4330</v>
      </c>
      <c r="H57" s="1">
        <v>142</v>
      </c>
      <c r="I57" s="1" t="s">
        <v>58</v>
      </c>
      <c r="J57" s="1">
        <v>30</v>
      </c>
      <c r="K57" s="1" t="s">
        <v>41</v>
      </c>
      <c r="L57" s="1">
        <v>803</v>
      </c>
      <c r="M57" s="1">
        <v>803</v>
      </c>
      <c r="N57">
        <v>40</v>
      </c>
      <c r="O57" s="1" t="s">
        <v>42</v>
      </c>
      <c r="P57" s="1" t="s">
        <v>35</v>
      </c>
      <c r="Q57" s="1">
        <v>34</v>
      </c>
      <c r="R57" s="1" t="s">
        <v>29</v>
      </c>
      <c r="S57" s="1">
        <v>456</v>
      </c>
      <c r="T57" s="5">
        <f>Tabela1[[#This Row],[investimento]]/Tabela1[[#This Row],[leads_gerados]]</f>
        <v>11.246478873239436</v>
      </c>
      <c r="U57" s="5">
        <f>VLOOKUP(Tabela1[[#This Row],[canal_aquisicao]],Tabela2[#All],2,0)</f>
        <v>18122.25</v>
      </c>
      <c r="V57" s="1" t="str">
        <f t="shared" si="4"/>
        <v>Não Qualificado</v>
      </c>
      <c r="W57" s="1" t="str">
        <f>VLOOKUP(C57,Tabela5[#All],2,0)</f>
        <v>Intenção de Compra</v>
      </c>
      <c r="X57" s="14" t="str">
        <f t="shared" si="5"/>
        <v>Baixo</v>
      </c>
      <c r="Y57" s="17" t="str">
        <f t="shared" si="6"/>
        <v>Alto</v>
      </c>
      <c r="Z57" s="17" t="str">
        <f t="shared" si="7"/>
        <v>Adulto</v>
      </c>
      <c r="AA57" s="17" t="str">
        <f>IF($AG$10&gt;=Tabela1[[#This Row],[investimento]]&gt;=$AG$11,"OK","Outlier")</f>
        <v>OK</v>
      </c>
      <c r="AB57" s="17" t="str">
        <f>IF($AG$17&gt;=Tabela1[[#This Row],[visitantes]]&gt;=$AG$18,"OK","Outlier")</f>
        <v>OK</v>
      </c>
      <c r="AC57" s="17" t="str">
        <f>IF($AG$24&gt;=Tabela1[[#This Row],[leads_gerados]]&gt;=$AG$25,"OK","Outlier")</f>
        <v>OK</v>
      </c>
      <c r="AD57" s="17" t="str">
        <f>IF($AG$31&gt;=Tabela1[[#This Row],[ltv_estimado]]&gt;=$AG$32,"OK","Outlier")</f>
        <v>OK</v>
      </c>
      <c r="AE57" s="17"/>
    </row>
    <row r="58" spans="1:31" ht="15.75" customHeight="1" x14ac:dyDescent="0.25">
      <c r="A58" s="1" t="s">
        <v>77</v>
      </c>
      <c r="B58" s="2">
        <v>45511</v>
      </c>
      <c r="C58" s="1" t="s">
        <v>31</v>
      </c>
      <c r="D58" s="1" t="s">
        <v>22</v>
      </c>
      <c r="E58" s="1" t="s">
        <v>23</v>
      </c>
      <c r="F58" s="1">
        <v>4410</v>
      </c>
      <c r="G58" s="1">
        <v>2584</v>
      </c>
      <c r="H58" s="1">
        <v>158</v>
      </c>
      <c r="I58" s="1" t="s">
        <v>63</v>
      </c>
      <c r="J58" s="1">
        <v>26</v>
      </c>
      <c r="K58" s="1" t="s">
        <v>41</v>
      </c>
      <c r="L58" s="1">
        <v>353</v>
      </c>
      <c r="M58" s="1">
        <v>353</v>
      </c>
      <c r="N58" s="1">
        <v>29</v>
      </c>
      <c r="O58" s="1" t="s">
        <v>26</v>
      </c>
      <c r="P58" s="1" t="s">
        <v>51</v>
      </c>
      <c r="Q58" s="1">
        <v>16</v>
      </c>
      <c r="R58" s="1" t="s">
        <v>37</v>
      </c>
      <c r="S58" s="1">
        <v>2386</v>
      </c>
      <c r="T58" s="5">
        <f>Tabela1[[#This Row],[investimento]]/Tabela1[[#This Row],[leads_gerados]]</f>
        <v>27.911392405063292</v>
      </c>
      <c r="U58" s="5">
        <f>VLOOKUP(Tabela1[[#This Row],[canal_aquisicao]],Tabela2[#All],2,0)</f>
        <v>20204</v>
      </c>
      <c r="V58" s="1" t="str">
        <f t="shared" si="4"/>
        <v>Não Qualificado</v>
      </c>
      <c r="W58" s="1" t="str">
        <f>VLOOKUP(C58,Tabela5[#All],2,0)</f>
        <v>Intenção de Compra</v>
      </c>
      <c r="X58" s="14" t="str">
        <f t="shared" si="5"/>
        <v>Baixo</v>
      </c>
      <c r="Y58" s="17" t="str">
        <f t="shared" si="6"/>
        <v>Médio</v>
      </c>
      <c r="Z58" s="17" t="str">
        <f t="shared" si="7"/>
        <v>Adulto</v>
      </c>
      <c r="AA58" s="17" t="str">
        <f>IF($AG$10&gt;=Tabela1[[#This Row],[investimento]]&gt;=$AG$11,"OK","Outlier")</f>
        <v>OK</v>
      </c>
      <c r="AB58" s="17" t="str">
        <f>IF($AG$17&gt;=Tabela1[[#This Row],[visitantes]]&gt;=$AG$18,"OK","Outlier")</f>
        <v>OK</v>
      </c>
      <c r="AC58" s="17" t="str">
        <f>IF($AG$24&gt;=Tabela1[[#This Row],[leads_gerados]]&gt;=$AG$25,"OK","Outlier")</f>
        <v>OK</v>
      </c>
      <c r="AD58" s="17" t="str">
        <f>IF($AG$31&gt;=Tabela1[[#This Row],[ltv_estimado]]&gt;=$AG$32,"OK","Outlier")</f>
        <v>OK</v>
      </c>
      <c r="AE58" s="17"/>
    </row>
    <row r="59" spans="1:31" ht="15.75" customHeight="1" x14ac:dyDescent="0.25">
      <c r="A59" s="1" t="s">
        <v>126</v>
      </c>
      <c r="B59" s="2">
        <v>45759</v>
      </c>
      <c r="C59" s="1" t="s">
        <v>21</v>
      </c>
      <c r="D59" s="1" t="s">
        <v>22</v>
      </c>
      <c r="E59" s="1" t="s">
        <v>50</v>
      </c>
      <c r="F59" s="1">
        <v>7702</v>
      </c>
      <c r="G59" s="1">
        <v>580</v>
      </c>
      <c r="H59" s="1">
        <v>11</v>
      </c>
      <c r="I59" s="1" t="s">
        <v>24</v>
      </c>
      <c r="J59" s="1">
        <v>18</v>
      </c>
      <c r="K59" s="1" t="s">
        <v>41</v>
      </c>
      <c r="L59" s="1">
        <v>269</v>
      </c>
      <c r="M59" s="1">
        <v>269</v>
      </c>
      <c r="N59" s="1">
        <v>19</v>
      </c>
      <c r="O59" s="1" t="s">
        <v>42</v>
      </c>
      <c r="P59" s="1" t="s">
        <v>46</v>
      </c>
      <c r="Q59" s="1">
        <v>43</v>
      </c>
      <c r="R59" s="1" t="s">
        <v>29</v>
      </c>
      <c r="S59" s="1">
        <v>2358</v>
      </c>
      <c r="T59" s="5">
        <f>Tabela1[[#This Row],[investimento]]/Tabela1[[#This Row],[leads_gerados]]</f>
        <v>700.18181818181813</v>
      </c>
      <c r="U59" s="5">
        <f>VLOOKUP(Tabela1[[#This Row],[canal_aquisicao]],Tabela2[#All],2,0)</f>
        <v>18122.25</v>
      </c>
      <c r="V59" s="1" t="str">
        <f t="shared" si="4"/>
        <v>Não Qualificado</v>
      </c>
      <c r="W59" s="1" t="str">
        <f>VLOOKUP(C59,Tabela5[#All],2,0)</f>
        <v>Intenção de Compra</v>
      </c>
      <c r="X59" s="14" t="str">
        <f t="shared" si="5"/>
        <v>Médio</v>
      </c>
      <c r="Y59" s="17" t="str">
        <f t="shared" si="6"/>
        <v>Médio</v>
      </c>
      <c r="Z59" s="17" t="str">
        <f t="shared" si="7"/>
        <v>Jovem</v>
      </c>
      <c r="AA59" s="17" t="str">
        <f>IF($AG$10&gt;=Tabela1[[#This Row],[investimento]]&gt;=$AG$11,"OK","Outlier")</f>
        <v>OK</v>
      </c>
      <c r="AB59" s="17" t="str">
        <f>IF($AG$17&gt;=Tabela1[[#This Row],[visitantes]]&gt;=$AG$18,"OK","Outlier")</f>
        <v>OK</v>
      </c>
      <c r="AC59" s="17" t="str">
        <f>IF($AG$24&gt;=Tabela1[[#This Row],[leads_gerados]]&gt;=$AG$25,"OK","Outlier")</f>
        <v>OK</v>
      </c>
      <c r="AD59" s="17" t="str">
        <f>IF($AG$31&gt;=Tabela1[[#This Row],[ltv_estimado]]&gt;=$AG$32,"OK","Outlier")</f>
        <v>OK</v>
      </c>
      <c r="AE59" s="17"/>
    </row>
    <row r="60" spans="1:31" ht="15.75" customHeight="1" x14ac:dyDescent="0.25">
      <c r="A60" s="1" t="s">
        <v>86</v>
      </c>
      <c r="B60" s="2">
        <v>45828</v>
      </c>
      <c r="C60" s="1" t="s">
        <v>21</v>
      </c>
      <c r="D60" s="1" t="s">
        <v>22</v>
      </c>
      <c r="E60" s="1" t="s">
        <v>23</v>
      </c>
      <c r="F60" s="1">
        <v>16405</v>
      </c>
      <c r="G60" s="1">
        <v>4524</v>
      </c>
      <c r="H60" s="1">
        <v>33</v>
      </c>
      <c r="I60" s="1" t="s">
        <v>58</v>
      </c>
      <c r="J60" s="1">
        <v>35</v>
      </c>
      <c r="K60" s="1" t="s">
        <v>25</v>
      </c>
      <c r="L60" s="1">
        <v>0</v>
      </c>
      <c r="M60" s="1">
        <v>0</v>
      </c>
      <c r="N60">
        <v>40</v>
      </c>
      <c r="O60" s="1" t="s">
        <v>42</v>
      </c>
      <c r="P60" s="1" t="s">
        <v>46</v>
      </c>
      <c r="Q60" s="1">
        <v>75</v>
      </c>
      <c r="R60" s="1" t="s">
        <v>37</v>
      </c>
      <c r="S60" s="1">
        <v>3631</v>
      </c>
      <c r="T60" s="5">
        <f>Tabela1[[#This Row],[investimento]]/Tabela1[[#This Row],[leads_gerados]]</f>
        <v>497.12121212121212</v>
      </c>
      <c r="U60" s="5">
        <f>VLOOKUP(Tabela1[[#This Row],[canal_aquisicao]],Tabela2[#All],2,0)</f>
        <v>18122.25</v>
      </c>
      <c r="V60" s="1" t="str">
        <f t="shared" si="4"/>
        <v>Qualificado</v>
      </c>
      <c r="W60" s="1" t="str">
        <f>VLOOKUP(C60,Tabela5[#All],2,0)</f>
        <v>Intenção de Compra</v>
      </c>
      <c r="X60" s="14" t="str">
        <f t="shared" si="5"/>
        <v>Alto</v>
      </c>
      <c r="Y60" s="17" t="str">
        <f t="shared" si="6"/>
        <v>Sem Compra</v>
      </c>
      <c r="Z60" s="17" t="str">
        <f t="shared" si="7"/>
        <v>Adulto</v>
      </c>
      <c r="AA60" s="17" t="str">
        <f>IF($AG$10&gt;=Tabela1[[#This Row],[investimento]]&gt;=$AG$11,"OK","Outlier")</f>
        <v>OK</v>
      </c>
      <c r="AB60" s="17" t="str">
        <f>IF($AG$17&gt;=Tabela1[[#This Row],[visitantes]]&gt;=$AG$18,"OK","Outlier")</f>
        <v>OK</v>
      </c>
      <c r="AC60" s="17" t="str">
        <f>IF($AG$24&gt;=Tabela1[[#This Row],[leads_gerados]]&gt;=$AG$25,"OK","Outlier")</f>
        <v>OK</v>
      </c>
      <c r="AD60" s="17" t="str">
        <f>IF($AG$31&gt;=Tabela1[[#This Row],[ltv_estimado]]&gt;=$AG$32,"OK","Outlier")</f>
        <v>OK</v>
      </c>
      <c r="AE60" s="17"/>
    </row>
    <row r="61" spans="1:31" ht="15.75" customHeight="1" x14ac:dyDescent="0.25">
      <c r="A61" s="1" t="s">
        <v>129</v>
      </c>
      <c r="B61" s="2">
        <v>45738</v>
      </c>
      <c r="C61" s="1" t="s">
        <v>57</v>
      </c>
      <c r="D61" s="1" t="s">
        <v>22</v>
      </c>
      <c r="E61" s="1" t="s">
        <v>24</v>
      </c>
      <c r="F61" s="1">
        <v>19691</v>
      </c>
      <c r="G61" s="1">
        <v>1116</v>
      </c>
      <c r="H61" s="1">
        <v>166</v>
      </c>
      <c r="I61" s="1" t="s">
        <v>34</v>
      </c>
      <c r="J61" s="1">
        <v>2</v>
      </c>
      <c r="K61" s="1" t="s">
        <v>25</v>
      </c>
      <c r="L61" s="1">
        <v>0</v>
      </c>
      <c r="M61" s="1">
        <v>0</v>
      </c>
      <c r="N61">
        <v>38</v>
      </c>
      <c r="O61" s="1" t="s">
        <v>26</v>
      </c>
      <c r="P61" s="1" t="s">
        <v>59</v>
      </c>
      <c r="Q61" s="1">
        <v>100</v>
      </c>
      <c r="R61" s="1" t="s">
        <v>47</v>
      </c>
      <c r="S61" s="1">
        <v>2330</v>
      </c>
      <c r="T61" s="5">
        <f>Tabela1[[#This Row],[investimento]]/Tabela1[[#This Row],[leads_gerados]]</f>
        <v>118.62048192771084</v>
      </c>
      <c r="U61" s="5">
        <f>VLOOKUP(Tabela1[[#This Row],[canal_aquisicao]],Tabela2[#All],2,0)</f>
        <v>22207.375</v>
      </c>
      <c r="V61" s="1" t="str">
        <f t="shared" si="4"/>
        <v>Qualificado</v>
      </c>
      <c r="W61" s="1" t="str">
        <f>VLOOKUP(C61,Tabela5[#All],2,0)</f>
        <v>Intenção de Compra</v>
      </c>
      <c r="X61" s="14" t="str">
        <f t="shared" si="5"/>
        <v>Alto</v>
      </c>
      <c r="Y61" s="17" t="str">
        <f t="shared" si="6"/>
        <v>Sem Compra</v>
      </c>
      <c r="Z61" s="17" t="str">
        <f t="shared" si="7"/>
        <v>Adulto</v>
      </c>
      <c r="AA61" s="17" t="str">
        <f>IF($AG$10&gt;=Tabela1[[#This Row],[investimento]]&gt;=$AG$11,"OK","Outlier")</f>
        <v>OK</v>
      </c>
      <c r="AB61" s="17" t="str">
        <f>IF($AG$17&gt;=Tabela1[[#This Row],[visitantes]]&gt;=$AG$18,"OK","Outlier")</f>
        <v>OK</v>
      </c>
      <c r="AC61" s="17" t="str">
        <f>IF($AG$24&gt;=Tabela1[[#This Row],[leads_gerados]]&gt;=$AG$25,"OK","Outlier")</f>
        <v>OK</v>
      </c>
      <c r="AD61" s="17" t="str">
        <f>IF($AG$31&gt;=Tabela1[[#This Row],[ltv_estimado]]&gt;=$AG$32,"OK","Outlier")</f>
        <v>OK</v>
      </c>
      <c r="AE61" s="17"/>
    </row>
    <row r="62" spans="1:31" ht="15.75" customHeight="1" x14ac:dyDescent="0.25">
      <c r="A62" s="1" t="s">
        <v>131</v>
      </c>
      <c r="B62" s="2">
        <v>45477</v>
      </c>
      <c r="C62" s="1" t="s">
        <v>39</v>
      </c>
      <c r="D62" s="1" t="s">
        <v>22</v>
      </c>
      <c r="E62" s="1" t="s">
        <v>50</v>
      </c>
      <c r="F62" s="1">
        <v>11006</v>
      </c>
      <c r="G62" s="1">
        <v>1491</v>
      </c>
      <c r="H62" s="1">
        <v>17</v>
      </c>
      <c r="I62" s="1" t="s">
        <v>58</v>
      </c>
      <c r="J62" s="1">
        <v>34</v>
      </c>
      <c r="K62" s="1" t="s">
        <v>41</v>
      </c>
      <c r="L62" s="1">
        <v>401</v>
      </c>
      <c r="M62" s="1">
        <v>401</v>
      </c>
      <c r="N62" s="1">
        <v>38</v>
      </c>
      <c r="O62" s="1" t="s">
        <v>42</v>
      </c>
      <c r="P62" s="1" t="s">
        <v>35</v>
      </c>
      <c r="Q62" s="1">
        <v>60</v>
      </c>
      <c r="R62" s="1" t="s">
        <v>29</v>
      </c>
      <c r="S62" s="1">
        <v>2674</v>
      </c>
      <c r="T62" s="5">
        <f>Tabela1[[#This Row],[investimento]]/Tabela1[[#This Row],[leads_gerados]]</f>
        <v>647.41176470588232</v>
      </c>
      <c r="U62" s="5">
        <f>VLOOKUP(Tabela1[[#This Row],[canal_aquisicao]],Tabela2[#All],2,0)</f>
        <v>23256.714285714286</v>
      </c>
      <c r="V62" s="1" t="str">
        <f t="shared" si="4"/>
        <v>Não Qualificado</v>
      </c>
      <c r="W62" s="1" t="str">
        <f>VLOOKUP(C62,Tabela5[#All],2,0)</f>
        <v>Awareness</v>
      </c>
      <c r="X62" s="14" t="str">
        <f t="shared" si="5"/>
        <v>Médio</v>
      </c>
      <c r="Y62" s="17" t="str">
        <f t="shared" si="6"/>
        <v>Alto</v>
      </c>
      <c r="Z62" s="17" t="str">
        <f t="shared" si="7"/>
        <v>Adulto</v>
      </c>
      <c r="AA62" s="17" t="str">
        <f>IF($AG$10&gt;=Tabela1[[#This Row],[investimento]]&gt;=$AG$11,"OK","Outlier")</f>
        <v>OK</v>
      </c>
      <c r="AB62" s="17" t="str">
        <f>IF($AG$17&gt;=Tabela1[[#This Row],[visitantes]]&gt;=$AG$18,"OK","Outlier")</f>
        <v>OK</v>
      </c>
      <c r="AC62" s="17" t="str">
        <f>IF($AG$24&gt;=Tabela1[[#This Row],[leads_gerados]]&gt;=$AG$25,"OK","Outlier")</f>
        <v>OK</v>
      </c>
      <c r="AD62" s="17" t="str">
        <f>IF($AG$31&gt;=Tabela1[[#This Row],[ltv_estimado]]&gt;=$AG$32,"OK","Outlier")</f>
        <v>OK</v>
      </c>
      <c r="AE62" s="17"/>
    </row>
    <row r="63" spans="1:31" ht="15.75" customHeight="1" x14ac:dyDescent="0.25">
      <c r="A63" s="1" t="s">
        <v>67</v>
      </c>
      <c r="B63" s="2">
        <v>45447</v>
      </c>
      <c r="C63" s="1" t="s">
        <v>57</v>
      </c>
      <c r="D63" s="1" t="s">
        <v>22</v>
      </c>
      <c r="E63" s="1" t="s">
        <v>33</v>
      </c>
      <c r="F63" s="1">
        <v>1165</v>
      </c>
      <c r="G63" s="1">
        <v>350</v>
      </c>
      <c r="H63" s="1">
        <v>67</v>
      </c>
      <c r="I63" s="1" t="s">
        <v>63</v>
      </c>
      <c r="J63" s="1">
        <v>15</v>
      </c>
      <c r="K63" s="1" t="s">
        <v>25</v>
      </c>
      <c r="L63" s="1">
        <v>0</v>
      </c>
      <c r="M63" s="1">
        <v>0</v>
      </c>
      <c r="N63">
        <v>40</v>
      </c>
      <c r="O63" s="1" t="s">
        <v>42</v>
      </c>
      <c r="P63" s="1" t="s">
        <v>59</v>
      </c>
      <c r="Q63" s="1">
        <v>40</v>
      </c>
      <c r="R63" s="1" t="s">
        <v>37</v>
      </c>
      <c r="S63" s="1">
        <v>4869</v>
      </c>
      <c r="T63" s="5">
        <f>Tabela1[[#This Row],[investimento]]/Tabela1[[#This Row],[leads_gerados]]</f>
        <v>17.388059701492537</v>
      </c>
      <c r="U63" s="5">
        <f>VLOOKUP(Tabela1[[#This Row],[canal_aquisicao]],Tabela2[#All],2,0)</f>
        <v>22207.375</v>
      </c>
      <c r="V63" s="1" t="str">
        <f t="shared" si="4"/>
        <v>Não Qualificado</v>
      </c>
      <c r="W63" s="1" t="str">
        <f>VLOOKUP(C63,Tabela5[#All],2,0)</f>
        <v>Intenção de Compra</v>
      </c>
      <c r="X63" s="14" t="str">
        <f t="shared" si="5"/>
        <v>Médio</v>
      </c>
      <c r="Y63" s="17" t="str">
        <f t="shared" si="6"/>
        <v>Sem Compra</v>
      </c>
      <c r="Z63" s="17" t="str">
        <f t="shared" si="7"/>
        <v>Adulto</v>
      </c>
      <c r="AA63" s="17" t="str">
        <f>IF($AG$10&gt;=Tabela1[[#This Row],[investimento]]&gt;=$AG$11,"OK","Outlier")</f>
        <v>OK</v>
      </c>
      <c r="AB63" s="17" t="str">
        <f>IF($AG$17&gt;=Tabela1[[#This Row],[visitantes]]&gt;=$AG$18,"OK","Outlier")</f>
        <v>OK</v>
      </c>
      <c r="AC63" s="17" t="str">
        <f>IF($AG$24&gt;=Tabela1[[#This Row],[leads_gerados]]&gt;=$AG$25,"OK","Outlier")</f>
        <v>OK</v>
      </c>
      <c r="AD63" s="17" t="str">
        <f>IF($AG$31&gt;=Tabela1[[#This Row],[ltv_estimado]]&gt;=$AG$32,"OK","Outlier")</f>
        <v>OK</v>
      </c>
      <c r="AE63" s="17"/>
    </row>
    <row r="64" spans="1:31" ht="15.75" customHeight="1" x14ac:dyDescent="0.25">
      <c r="A64" s="1" t="s">
        <v>135</v>
      </c>
      <c r="B64" s="2">
        <v>45359</v>
      </c>
      <c r="C64" s="1" t="s">
        <v>39</v>
      </c>
      <c r="D64" s="1" t="s">
        <v>22</v>
      </c>
      <c r="E64" s="1" t="s">
        <v>24</v>
      </c>
      <c r="F64" s="1">
        <v>11159</v>
      </c>
      <c r="G64" s="1">
        <v>2523</v>
      </c>
      <c r="H64" s="1">
        <v>248</v>
      </c>
      <c r="I64" s="1" t="s">
        <v>24</v>
      </c>
      <c r="J64" s="1">
        <v>23</v>
      </c>
      <c r="K64" s="1" t="s">
        <v>25</v>
      </c>
      <c r="L64" s="1">
        <v>0</v>
      </c>
      <c r="M64" s="1">
        <v>0</v>
      </c>
      <c r="N64">
        <v>38</v>
      </c>
      <c r="O64" s="1" t="s">
        <v>26</v>
      </c>
      <c r="P64" s="1" t="s">
        <v>59</v>
      </c>
      <c r="Q64" s="1">
        <v>43</v>
      </c>
      <c r="R64" s="1" t="s">
        <v>29</v>
      </c>
      <c r="S64" s="1">
        <v>627</v>
      </c>
      <c r="T64" s="5">
        <f>Tabela1[[#This Row],[investimento]]/Tabela1[[#This Row],[leads_gerados]]</f>
        <v>44.99596774193548</v>
      </c>
      <c r="U64" s="5">
        <f>VLOOKUP(Tabela1[[#This Row],[canal_aquisicao]],Tabela2[#All],2,0)</f>
        <v>23256.714285714286</v>
      </c>
      <c r="V64" s="1" t="str">
        <f t="shared" si="4"/>
        <v>Não Qualificado</v>
      </c>
      <c r="W64" s="1" t="str">
        <f>VLOOKUP(C64,Tabela5[#All],2,0)</f>
        <v>Awareness</v>
      </c>
      <c r="X64" s="14" t="str">
        <f t="shared" si="5"/>
        <v>Médio</v>
      </c>
      <c r="Y64" s="17" t="str">
        <f t="shared" si="6"/>
        <v>Sem Compra</v>
      </c>
      <c r="Z64" s="17" t="str">
        <f t="shared" si="7"/>
        <v>Adulto</v>
      </c>
      <c r="AA64" s="17" t="str">
        <f>IF($AG$10&gt;=Tabela1[[#This Row],[investimento]]&gt;=$AG$11,"OK","Outlier")</f>
        <v>OK</v>
      </c>
      <c r="AB64" s="17" t="str">
        <f>IF($AG$17&gt;=Tabela1[[#This Row],[visitantes]]&gt;=$AG$18,"OK","Outlier")</f>
        <v>OK</v>
      </c>
      <c r="AC64" s="17" t="str">
        <f>IF($AG$24&gt;=Tabela1[[#This Row],[leads_gerados]]&gt;=$AG$25,"OK","Outlier")</f>
        <v>OK</v>
      </c>
      <c r="AD64" s="17" t="str">
        <f>IF($AG$31&gt;=Tabela1[[#This Row],[ltv_estimado]]&gt;=$AG$32,"OK","Outlier")</f>
        <v>OK</v>
      </c>
      <c r="AE64" s="17"/>
    </row>
    <row r="65" spans="1:31" ht="15.75" customHeight="1" x14ac:dyDescent="0.25">
      <c r="A65" s="1" t="s">
        <v>140</v>
      </c>
      <c r="B65" s="2">
        <v>45792</v>
      </c>
      <c r="C65" s="1" t="s">
        <v>21</v>
      </c>
      <c r="D65" s="1" t="s">
        <v>22</v>
      </c>
      <c r="E65" s="1" t="s">
        <v>50</v>
      </c>
      <c r="F65" s="1">
        <v>17673</v>
      </c>
      <c r="G65" s="1">
        <v>4773</v>
      </c>
      <c r="H65" s="1">
        <v>286</v>
      </c>
      <c r="I65" s="1" t="s">
        <v>24</v>
      </c>
      <c r="J65" s="1">
        <v>8</v>
      </c>
      <c r="K65" s="1" t="s">
        <v>41</v>
      </c>
      <c r="L65" s="1">
        <v>686</v>
      </c>
      <c r="M65" s="1">
        <v>686</v>
      </c>
      <c r="N65" s="1">
        <v>57</v>
      </c>
      <c r="O65" s="1" t="s">
        <v>26</v>
      </c>
      <c r="P65" s="1" t="s">
        <v>35</v>
      </c>
      <c r="Q65" s="1">
        <v>83</v>
      </c>
      <c r="R65" s="1" t="s">
        <v>29</v>
      </c>
      <c r="S65" s="1">
        <v>3558</v>
      </c>
      <c r="T65" s="5">
        <f>Tabela1[[#This Row],[investimento]]/Tabela1[[#This Row],[leads_gerados]]</f>
        <v>61.793706293706293</v>
      </c>
      <c r="U65" s="5">
        <f>VLOOKUP(Tabela1[[#This Row],[canal_aquisicao]],Tabela2[#All],2,0)</f>
        <v>18122.25</v>
      </c>
      <c r="V65" s="1" t="str">
        <f t="shared" si="4"/>
        <v>Qualificado</v>
      </c>
      <c r="W65" s="1" t="str">
        <f>VLOOKUP(C65,Tabela5[#All],2,0)</f>
        <v>Intenção de Compra</v>
      </c>
      <c r="X65" s="14" t="str">
        <f t="shared" si="5"/>
        <v>Alto</v>
      </c>
      <c r="Y65" s="17" t="str">
        <f t="shared" si="6"/>
        <v>Alto</v>
      </c>
      <c r="Z65" s="17" t="str">
        <f t="shared" si="7"/>
        <v>Sênior</v>
      </c>
      <c r="AA65" s="17" t="str">
        <f>IF($AG$10&gt;=Tabela1[[#This Row],[investimento]]&gt;=$AG$11,"OK","Outlier")</f>
        <v>OK</v>
      </c>
      <c r="AB65" s="17" t="str">
        <f>IF($AG$17&gt;=Tabela1[[#This Row],[visitantes]]&gt;=$AG$18,"OK","Outlier")</f>
        <v>OK</v>
      </c>
      <c r="AC65" s="17" t="str">
        <f>IF($AG$24&gt;=Tabela1[[#This Row],[leads_gerados]]&gt;=$AG$25,"OK","Outlier")</f>
        <v>OK</v>
      </c>
      <c r="AD65" s="17" t="str">
        <f>IF($AG$31&gt;=Tabela1[[#This Row],[ltv_estimado]]&gt;=$AG$32,"OK","Outlier")</f>
        <v>OK</v>
      </c>
      <c r="AE65" s="17"/>
    </row>
    <row r="66" spans="1:31" ht="15.75" customHeight="1" x14ac:dyDescent="0.25">
      <c r="A66" s="1" t="s">
        <v>76</v>
      </c>
      <c r="B66" s="2">
        <v>45430</v>
      </c>
      <c r="C66" s="1" t="s">
        <v>39</v>
      </c>
      <c r="D66" s="1" t="s">
        <v>22</v>
      </c>
      <c r="E66" s="1" t="s">
        <v>24</v>
      </c>
      <c r="F66" s="1">
        <v>3182</v>
      </c>
      <c r="G66" s="1">
        <v>697</v>
      </c>
      <c r="H66" s="1">
        <v>204</v>
      </c>
      <c r="I66" s="1" t="s">
        <v>34</v>
      </c>
      <c r="J66" s="1">
        <v>1</v>
      </c>
      <c r="K66" s="1" t="s">
        <v>25</v>
      </c>
      <c r="L66" s="1">
        <v>0</v>
      </c>
      <c r="M66" s="1">
        <v>0</v>
      </c>
      <c r="N66">
        <v>38</v>
      </c>
      <c r="O66" s="1" t="s">
        <v>26</v>
      </c>
      <c r="P66" s="1" t="s">
        <v>46</v>
      </c>
      <c r="Q66" s="1">
        <v>21</v>
      </c>
      <c r="R66" s="1" t="s">
        <v>47</v>
      </c>
      <c r="S66" s="1">
        <v>5975</v>
      </c>
      <c r="T66" s="5">
        <f>Tabela1[[#This Row],[investimento]]/Tabela1[[#This Row],[leads_gerados]]</f>
        <v>15.598039215686274</v>
      </c>
      <c r="U66" s="5">
        <f>VLOOKUP(Tabela1[[#This Row],[canal_aquisicao]],Tabela2[#All],2,0)</f>
        <v>23256.714285714286</v>
      </c>
      <c r="V66" s="1" t="str">
        <f t="shared" ref="V66:V97" si="8">IF(Q66&gt;=70,"Qualificado","Não Qualificado")</f>
        <v>Não Qualificado</v>
      </c>
      <c r="W66" s="1" t="str">
        <f>VLOOKUP(C66,Tabela5[#All],2,0)</f>
        <v>Awareness</v>
      </c>
      <c r="X66" s="14" t="str">
        <f t="shared" ref="X66:X97" si="9">IF(Q66&gt;=70, "Alto", IF(Q66&gt;=40, "Médio", "Baixo"))</f>
        <v>Baixo</v>
      </c>
      <c r="Y66" s="17" t="str">
        <f t="shared" ref="Y66:Y97" si="10">IF(M66=0, "Sem Compra", IF(M66&gt;=400, "Alto", IF(M66&gt;=150, "Médio", "Baixo")))</f>
        <v>Sem Compra</v>
      </c>
      <c r="Z66" s="17" t="str">
        <f t="shared" ref="Z66:Z97" si="11">IF(N66&gt;=18,IF(N66&lt;=25,"Jovem",IF(N66&lt;=40,"Adulto","Sênior")),"")</f>
        <v>Adulto</v>
      </c>
      <c r="AA66" s="17" t="str">
        <f>IF($AG$10&gt;=Tabela1[[#This Row],[investimento]]&gt;=$AG$11,"OK","Outlier")</f>
        <v>OK</v>
      </c>
      <c r="AB66" s="17" t="str">
        <f>IF($AG$17&gt;=Tabela1[[#This Row],[visitantes]]&gt;=$AG$18,"OK","Outlier")</f>
        <v>OK</v>
      </c>
      <c r="AC66" s="17" t="str">
        <f>IF($AG$24&gt;=Tabela1[[#This Row],[leads_gerados]]&gt;=$AG$25,"OK","Outlier")</f>
        <v>OK</v>
      </c>
      <c r="AD66" s="17" t="str">
        <f>IF($AG$31&gt;=Tabela1[[#This Row],[ltv_estimado]]&gt;=$AG$32,"OK","Outlier")</f>
        <v>OK</v>
      </c>
      <c r="AE66" s="17"/>
    </row>
    <row r="67" spans="1:31" ht="15.75" customHeight="1" x14ac:dyDescent="0.25">
      <c r="A67" s="1" t="s">
        <v>88</v>
      </c>
      <c r="B67" s="2">
        <v>45483</v>
      </c>
      <c r="C67" s="1" t="s">
        <v>39</v>
      </c>
      <c r="D67" s="1" t="s">
        <v>22</v>
      </c>
      <c r="E67" s="1" t="s">
        <v>50</v>
      </c>
      <c r="F67" s="1">
        <v>4896</v>
      </c>
      <c r="G67" s="1">
        <v>4726</v>
      </c>
      <c r="H67" s="1">
        <v>254</v>
      </c>
      <c r="I67" s="1" t="s">
        <v>58</v>
      </c>
      <c r="J67" s="1">
        <v>33</v>
      </c>
      <c r="K67" s="1" t="s">
        <v>41</v>
      </c>
      <c r="L67" s="1">
        <v>406</v>
      </c>
      <c r="M67" s="1">
        <v>203</v>
      </c>
      <c r="N67" s="1">
        <v>22</v>
      </c>
      <c r="O67" s="1" t="s">
        <v>42</v>
      </c>
      <c r="P67" s="1" t="s">
        <v>51</v>
      </c>
      <c r="Q67" s="1">
        <v>98</v>
      </c>
      <c r="R67" s="1" t="s">
        <v>37</v>
      </c>
      <c r="S67" s="1">
        <v>5036</v>
      </c>
      <c r="T67" s="5">
        <f>Tabela1[[#This Row],[investimento]]/Tabela1[[#This Row],[leads_gerados]]</f>
        <v>19.275590551181104</v>
      </c>
      <c r="U67" s="5">
        <f>VLOOKUP(Tabela1[[#This Row],[canal_aquisicao]],Tabela2[#All],2,0)</f>
        <v>23256.714285714286</v>
      </c>
      <c r="V67" s="1" t="str">
        <f t="shared" si="8"/>
        <v>Qualificado</v>
      </c>
      <c r="W67" s="1" t="str">
        <f>VLOOKUP(C67,Tabela5[#All],2,0)</f>
        <v>Awareness</v>
      </c>
      <c r="X67" s="14" t="str">
        <f t="shared" si="9"/>
        <v>Alto</v>
      </c>
      <c r="Y67" s="17" t="str">
        <f t="shared" si="10"/>
        <v>Médio</v>
      </c>
      <c r="Z67" s="17" t="str">
        <f t="shared" si="11"/>
        <v>Jovem</v>
      </c>
      <c r="AA67" s="17" t="str">
        <f>IF($AG$10&gt;=Tabela1[[#This Row],[investimento]]&gt;=$AG$11,"OK","Outlier")</f>
        <v>OK</v>
      </c>
      <c r="AB67" s="17" t="str">
        <f>IF($AG$17&gt;=Tabela1[[#This Row],[visitantes]]&gt;=$AG$18,"OK","Outlier")</f>
        <v>OK</v>
      </c>
      <c r="AC67" s="17" t="str">
        <f>IF($AG$24&gt;=Tabela1[[#This Row],[leads_gerados]]&gt;=$AG$25,"OK","Outlier")</f>
        <v>OK</v>
      </c>
      <c r="AD67" s="17" t="str">
        <f>IF($AG$31&gt;=Tabela1[[#This Row],[ltv_estimado]]&gt;=$AG$32,"OK","Outlier")</f>
        <v>OK</v>
      </c>
      <c r="AE67" s="17"/>
    </row>
    <row r="68" spans="1:31" ht="15.75" customHeight="1" x14ac:dyDescent="0.25">
      <c r="A68" s="1" t="s">
        <v>138</v>
      </c>
      <c r="B68" s="2">
        <v>45690</v>
      </c>
      <c r="C68" s="1" t="s">
        <v>57</v>
      </c>
      <c r="D68" s="1" t="s">
        <v>22</v>
      </c>
      <c r="E68" s="1" t="s">
        <v>33</v>
      </c>
      <c r="F68" s="1">
        <v>8607</v>
      </c>
      <c r="G68" s="1">
        <v>2581</v>
      </c>
      <c r="H68" s="1">
        <v>228</v>
      </c>
      <c r="I68" s="1" t="s">
        <v>24</v>
      </c>
      <c r="J68" s="1">
        <v>35</v>
      </c>
      <c r="K68" s="1" t="s">
        <v>41</v>
      </c>
      <c r="L68" s="1">
        <v>270</v>
      </c>
      <c r="M68" s="1">
        <v>270</v>
      </c>
      <c r="N68" s="1">
        <v>21</v>
      </c>
      <c r="O68" s="1" t="s">
        <v>26</v>
      </c>
      <c r="P68" s="1" t="s">
        <v>46</v>
      </c>
      <c r="Q68" s="1">
        <v>28</v>
      </c>
      <c r="R68" s="1" t="s">
        <v>37</v>
      </c>
      <c r="S68" s="1">
        <v>2712</v>
      </c>
      <c r="T68" s="5">
        <f>Tabela1[[#This Row],[investimento]]/Tabela1[[#This Row],[leads_gerados]]</f>
        <v>37.75</v>
      </c>
      <c r="U68" s="5">
        <f>VLOOKUP(Tabela1[[#This Row],[canal_aquisicao]],Tabela2[#All],2,0)</f>
        <v>22207.375</v>
      </c>
      <c r="V68" s="1" t="str">
        <f t="shared" si="8"/>
        <v>Não Qualificado</v>
      </c>
      <c r="W68" s="1" t="str">
        <f>VLOOKUP(C68,Tabela5[#All],2,0)</f>
        <v>Intenção de Compra</v>
      </c>
      <c r="X68" s="14" t="str">
        <f t="shared" si="9"/>
        <v>Baixo</v>
      </c>
      <c r="Y68" s="17" t="str">
        <f t="shared" si="10"/>
        <v>Médio</v>
      </c>
      <c r="Z68" s="17" t="str">
        <f t="shared" si="11"/>
        <v>Jovem</v>
      </c>
      <c r="AA68" s="17" t="str">
        <f>IF($AG$10&gt;=Tabela1[[#This Row],[investimento]]&gt;=$AG$11,"OK","Outlier")</f>
        <v>OK</v>
      </c>
      <c r="AB68" s="17" t="str">
        <f>IF($AG$17&gt;=Tabela1[[#This Row],[visitantes]]&gt;=$AG$18,"OK","Outlier")</f>
        <v>OK</v>
      </c>
      <c r="AC68" s="17" t="str">
        <f>IF($AG$24&gt;=Tabela1[[#This Row],[leads_gerados]]&gt;=$AG$25,"OK","Outlier")</f>
        <v>OK</v>
      </c>
      <c r="AD68" s="17" t="str">
        <f>IF($AG$31&gt;=Tabela1[[#This Row],[ltv_estimado]]&gt;=$AG$32,"OK","Outlier")</f>
        <v>OK</v>
      </c>
      <c r="AE68" s="17"/>
    </row>
    <row r="69" spans="1:31" ht="15.75" customHeight="1" x14ac:dyDescent="0.25">
      <c r="A69" s="1" t="s">
        <v>92</v>
      </c>
      <c r="B69" s="2">
        <v>45438</v>
      </c>
      <c r="C69" s="1" t="s">
        <v>21</v>
      </c>
      <c r="D69" s="1" t="s">
        <v>22</v>
      </c>
      <c r="E69" s="1" t="s">
        <v>33</v>
      </c>
      <c r="F69" s="1">
        <v>4342</v>
      </c>
      <c r="G69" s="1">
        <v>386</v>
      </c>
      <c r="H69" s="1">
        <v>109</v>
      </c>
      <c r="I69" s="1" t="s">
        <v>63</v>
      </c>
      <c r="J69" s="1">
        <v>20</v>
      </c>
      <c r="K69" s="1" t="s">
        <v>25</v>
      </c>
      <c r="L69" s="1">
        <v>0</v>
      </c>
      <c r="M69" s="1">
        <v>0</v>
      </c>
      <c r="N69" s="1">
        <v>21</v>
      </c>
      <c r="O69" s="1" t="s">
        <v>42</v>
      </c>
      <c r="P69" s="1" t="s">
        <v>46</v>
      </c>
      <c r="Q69" s="1">
        <v>49</v>
      </c>
      <c r="R69" s="1" t="s">
        <v>37</v>
      </c>
      <c r="S69" s="1">
        <v>3080</v>
      </c>
      <c r="T69" s="5">
        <f>Tabela1[[#This Row],[investimento]]/Tabela1[[#This Row],[leads_gerados]]</f>
        <v>39.834862385321102</v>
      </c>
      <c r="U69" s="5">
        <f>VLOOKUP(Tabela1[[#This Row],[canal_aquisicao]],Tabela2[#All],2,0)</f>
        <v>18122.25</v>
      </c>
      <c r="V69" s="1" t="str">
        <f t="shared" si="8"/>
        <v>Não Qualificado</v>
      </c>
      <c r="W69" s="1" t="str">
        <f>VLOOKUP(C69,Tabela5[#All],2,0)</f>
        <v>Intenção de Compra</v>
      </c>
      <c r="X69" s="14" t="str">
        <f t="shared" si="9"/>
        <v>Médio</v>
      </c>
      <c r="Y69" s="17" t="str">
        <f t="shared" si="10"/>
        <v>Sem Compra</v>
      </c>
      <c r="Z69" s="17" t="str">
        <f t="shared" si="11"/>
        <v>Jovem</v>
      </c>
      <c r="AA69" s="17" t="str">
        <f>IF($AG$10&gt;=Tabela1[[#This Row],[investimento]]&gt;=$AG$11,"OK","Outlier")</f>
        <v>OK</v>
      </c>
      <c r="AB69" s="17" t="str">
        <f>IF($AG$17&gt;=Tabela1[[#This Row],[visitantes]]&gt;=$AG$18,"OK","Outlier")</f>
        <v>OK</v>
      </c>
      <c r="AC69" s="17" t="str">
        <f>IF($AG$24&gt;=Tabela1[[#This Row],[leads_gerados]]&gt;=$AG$25,"OK","Outlier")</f>
        <v>OK</v>
      </c>
      <c r="AD69" s="17" t="str">
        <f>IF($AG$31&gt;=Tabela1[[#This Row],[ltv_estimado]]&gt;=$AG$32,"OK","Outlier")</f>
        <v>OK</v>
      </c>
      <c r="AE69" s="17"/>
    </row>
    <row r="70" spans="1:31" ht="15.75" customHeight="1" x14ac:dyDescent="0.25">
      <c r="A70" s="1" t="s">
        <v>146</v>
      </c>
      <c r="B70" s="2">
        <v>45311</v>
      </c>
      <c r="C70" s="1" t="s">
        <v>57</v>
      </c>
      <c r="D70" s="1" t="s">
        <v>22</v>
      </c>
      <c r="E70" s="1" t="s">
        <v>24</v>
      </c>
      <c r="F70" s="1">
        <v>6502</v>
      </c>
      <c r="G70" s="1">
        <v>4583</v>
      </c>
      <c r="H70" s="1">
        <v>110</v>
      </c>
      <c r="I70" s="1" t="s">
        <v>34</v>
      </c>
      <c r="J70" s="1">
        <v>19</v>
      </c>
      <c r="K70" s="1" t="s">
        <v>25</v>
      </c>
      <c r="L70" s="1">
        <v>0</v>
      </c>
      <c r="M70" s="1">
        <v>0</v>
      </c>
      <c r="N70">
        <v>40</v>
      </c>
      <c r="O70" s="1" t="s">
        <v>42</v>
      </c>
      <c r="P70" s="1" t="s">
        <v>59</v>
      </c>
      <c r="Q70" s="1">
        <v>29</v>
      </c>
      <c r="R70" s="1" t="s">
        <v>37</v>
      </c>
      <c r="S70" s="1">
        <v>2227</v>
      </c>
      <c r="T70" s="5">
        <f>Tabela1[[#This Row],[investimento]]/Tabela1[[#This Row],[leads_gerados]]</f>
        <v>59.109090909090909</v>
      </c>
      <c r="U70" s="5">
        <f>VLOOKUP(Tabela1[[#This Row],[canal_aquisicao]],Tabela2[#All],2,0)</f>
        <v>22207.375</v>
      </c>
      <c r="V70" s="1" t="str">
        <f t="shared" si="8"/>
        <v>Não Qualificado</v>
      </c>
      <c r="W70" s="1" t="str">
        <f>VLOOKUP(C70,Tabela5[#All],2,0)</f>
        <v>Intenção de Compra</v>
      </c>
      <c r="X70" s="14" t="str">
        <f t="shared" si="9"/>
        <v>Baixo</v>
      </c>
      <c r="Y70" s="17" t="str">
        <f t="shared" si="10"/>
        <v>Sem Compra</v>
      </c>
      <c r="Z70" s="17" t="str">
        <f t="shared" si="11"/>
        <v>Adulto</v>
      </c>
      <c r="AA70" s="17" t="str">
        <f>IF($AG$10&gt;=Tabela1[[#This Row],[investimento]]&gt;=$AG$11,"OK","Outlier")</f>
        <v>OK</v>
      </c>
      <c r="AB70" s="17" t="str">
        <f>IF($AG$17&gt;=Tabela1[[#This Row],[visitantes]]&gt;=$AG$18,"OK","Outlier")</f>
        <v>OK</v>
      </c>
      <c r="AC70" s="17" t="str">
        <f>IF($AG$24&gt;=Tabela1[[#This Row],[leads_gerados]]&gt;=$AG$25,"OK","Outlier")</f>
        <v>OK</v>
      </c>
      <c r="AD70" s="17" t="str">
        <f>IF($AG$31&gt;=Tabela1[[#This Row],[ltv_estimado]]&gt;=$AG$32,"OK","Outlier")</f>
        <v>OK</v>
      </c>
      <c r="AE70" s="17"/>
    </row>
    <row r="71" spans="1:31" ht="15.75" customHeight="1" x14ac:dyDescent="0.25">
      <c r="A71" s="1" t="s">
        <v>70</v>
      </c>
      <c r="B71" s="2">
        <v>45725</v>
      </c>
      <c r="C71" s="1" t="s">
        <v>54</v>
      </c>
      <c r="D71" s="1" t="s">
        <v>22</v>
      </c>
      <c r="E71" s="1" t="s">
        <v>50</v>
      </c>
      <c r="F71" s="1">
        <v>9751</v>
      </c>
      <c r="G71" s="1">
        <v>3624</v>
      </c>
      <c r="H71" s="1">
        <v>86</v>
      </c>
      <c r="I71" s="1" t="s">
        <v>40</v>
      </c>
      <c r="J71" s="1">
        <v>3</v>
      </c>
      <c r="K71" s="1" t="s">
        <v>41</v>
      </c>
      <c r="L71" s="1">
        <v>713</v>
      </c>
      <c r="M71" s="1">
        <v>237.67</v>
      </c>
      <c r="N71" s="1">
        <v>37</v>
      </c>
      <c r="O71" s="1" t="s">
        <v>42</v>
      </c>
      <c r="P71" s="1" t="s">
        <v>35</v>
      </c>
      <c r="Q71" s="1">
        <v>10</v>
      </c>
      <c r="R71" s="1" t="s">
        <v>47</v>
      </c>
      <c r="S71" s="1">
        <v>1243</v>
      </c>
      <c r="T71" s="5">
        <f>Tabela1[[#This Row],[investimento]]/Tabela1[[#This Row],[leads_gerados]]</f>
        <v>113.38372093023256</v>
      </c>
      <c r="U71" s="5">
        <f>VLOOKUP(Tabela1[[#This Row],[canal_aquisicao]],Tabela2[#All],2,0)</f>
        <v>23467.142857142859</v>
      </c>
      <c r="V71" s="1" t="str">
        <f t="shared" si="8"/>
        <v>Não Qualificado</v>
      </c>
      <c r="W71" s="1" t="str">
        <f>VLOOKUP(C71,Tabela5[#All],2,0)</f>
        <v>Awareness</v>
      </c>
      <c r="X71" s="14" t="str">
        <f t="shared" si="9"/>
        <v>Baixo</v>
      </c>
      <c r="Y71" s="17" t="str">
        <f t="shared" si="10"/>
        <v>Médio</v>
      </c>
      <c r="Z71" s="17" t="str">
        <f t="shared" si="11"/>
        <v>Adulto</v>
      </c>
      <c r="AA71" s="17" t="str">
        <f>IF($AG$10&gt;=Tabela1[[#This Row],[investimento]]&gt;=$AG$11,"OK","Outlier")</f>
        <v>OK</v>
      </c>
      <c r="AB71" s="17" t="str">
        <f>IF($AG$17&gt;=Tabela1[[#This Row],[visitantes]]&gt;=$AG$18,"OK","Outlier")</f>
        <v>OK</v>
      </c>
      <c r="AC71" s="17" t="str">
        <f>IF($AG$24&gt;=Tabela1[[#This Row],[leads_gerados]]&gt;=$AG$25,"OK","Outlier")</f>
        <v>OK</v>
      </c>
      <c r="AD71" s="17" t="str">
        <f>IF($AG$31&gt;=Tabela1[[#This Row],[ltv_estimado]]&gt;=$AG$32,"OK","Outlier")</f>
        <v>OK</v>
      </c>
      <c r="AE71" s="17"/>
    </row>
    <row r="72" spans="1:31" ht="15.75" customHeight="1" x14ac:dyDescent="0.25">
      <c r="A72" s="1" t="s">
        <v>150</v>
      </c>
      <c r="B72" s="2">
        <v>45716</v>
      </c>
      <c r="C72" s="1" t="s">
        <v>54</v>
      </c>
      <c r="D72" s="1" t="s">
        <v>22</v>
      </c>
      <c r="E72" s="1" t="s">
        <v>33</v>
      </c>
      <c r="F72" s="1">
        <v>17843</v>
      </c>
      <c r="G72" s="1">
        <v>3943</v>
      </c>
      <c r="H72" s="1">
        <v>252</v>
      </c>
      <c r="I72" s="1" t="s">
        <v>55</v>
      </c>
      <c r="J72" s="1">
        <v>11</v>
      </c>
      <c r="K72" s="1" t="s">
        <v>41</v>
      </c>
      <c r="L72" s="1">
        <v>291</v>
      </c>
      <c r="M72" s="1">
        <v>145.5</v>
      </c>
      <c r="N72" s="1">
        <v>27</v>
      </c>
      <c r="O72" s="1" t="s">
        <v>26</v>
      </c>
      <c r="P72" s="1" t="s">
        <v>59</v>
      </c>
      <c r="Q72" s="1">
        <v>57</v>
      </c>
      <c r="R72" s="1" t="s">
        <v>47</v>
      </c>
      <c r="S72" s="1">
        <v>3236</v>
      </c>
      <c r="T72" s="5">
        <f>Tabela1[[#This Row],[investimento]]/Tabela1[[#This Row],[leads_gerados]]</f>
        <v>70.805555555555557</v>
      </c>
      <c r="U72" s="5">
        <f>VLOOKUP(Tabela1[[#This Row],[canal_aquisicao]],Tabela2[#All],2,0)</f>
        <v>23467.142857142859</v>
      </c>
      <c r="V72" s="1" t="str">
        <f t="shared" si="8"/>
        <v>Não Qualificado</v>
      </c>
      <c r="W72" s="1" t="str">
        <f>VLOOKUP(C72,Tabela5[#All],2,0)</f>
        <v>Awareness</v>
      </c>
      <c r="X72" s="14" t="str">
        <f t="shared" si="9"/>
        <v>Médio</v>
      </c>
      <c r="Y72" s="17" t="str">
        <f t="shared" si="10"/>
        <v>Baixo</v>
      </c>
      <c r="Z72" s="17" t="str">
        <f t="shared" si="11"/>
        <v>Adulto</v>
      </c>
      <c r="AA72" s="17" t="str">
        <f>IF($AG$10&gt;=Tabela1[[#This Row],[investimento]]&gt;=$AG$11,"OK","Outlier")</f>
        <v>OK</v>
      </c>
      <c r="AB72" s="17" t="str">
        <f>IF($AG$17&gt;=Tabela1[[#This Row],[visitantes]]&gt;=$AG$18,"OK","Outlier")</f>
        <v>OK</v>
      </c>
      <c r="AC72" s="17" t="str">
        <f>IF($AG$24&gt;=Tabela1[[#This Row],[leads_gerados]]&gt;=$AG$25,"OK","Outlier")</f>
        <v>OK</v>
      </c>
      <c r="AD72" s="17" t="str">
        <f>IF($AG$31&gt;=Tabela1[[#This Row],[ltv_estimado]]&gt;=$AG$32,"OK","Outlier")</f>
        <v>OK</v>
      </c>
      <c r="AE72" s="17"/>
    </row>
    <row r="73" spans="1:31" ht="15.75" customHeight="1" x14ac:dyDescent="0.25">
      <c r="A73" s="1" t="s">
        <v>87</v>
      </c>
      <c r="B73" s="2">
        <v>45483</v>
      </c>
      <c r="C73" s="1" t="s">
        <v>31</v>
      </c>
      <c r="D73" s="1" t="s">
        <v>22</v>
      </c>
      <c r="E73" s="1" t="s">
        <v>23</v>
      </c>
      <c r="F73" s="1">
        <v>5554</v>
      </c>
      <c r="G73" s="1">
        <v>1724</v>
      </c>
      <c r="H73" s="1">
        <v>41</v>
      </c>
      <c r="I73" s="1" t="s">
        <v>55</v>
      </c>
      <c r="J73" s="1">
        <v>11</v>
      </c>
      <c r="K73" s="1" t="s">
        <v>41</v>
      </c>
      <c r="L73" s="1">
        <v>266</v>
      </c>
      <c r="M73" s="1">
        <v>88.67</v>
      </c>
      <c r="N73" s="1">
        <v>53</v>
      </c>
      <c r="O73" s="1" t="s">
        <v>26</v>
      </c>
      <c r="P73" s="1" t="s">
        <v>35</v>
      </c>
      <c r="Q73" s="1">
        <v>70</v>
      </c>
      <c r="R73" s="1" t="s">
        <v>37</v>
      </c>
      <c r="S73" s="1">
        <v>475</v>
      </c>
      <c r="T73" s="5">
        <f>Tabela1[[#This Row],[investimento]]/Tabela1[[#This Row],[leads_gerados]]</f>
        <v>135.46341463414635</v>
      </c>
      <c r="U73" s="5">
        <f>VLOOKUP(Tabela1[[#This Row],[canal_aquisicao]],Tabela2[#All],2,0)</f>
        <v>20204</v>
      </c>
      <c r="V73" s="1" t="str">
        <f t="shared" si="8"/>
        <v>Qualificado</v>
      </c>
      <c r="W73" s="1" t="str">
        <f>VLOOKUP(C73,Tabela5[#All],2,0)</f>
        <v>Intenção de Compra</v>
      </c>
      <c r="X73" s="14" t="str">
        <f t="shared" si="9"/>
        <v>Alto</v>
      </c>
      <c r="Y73" s="17" t="str">
        <f t="shared" si="10"/>
        <v>Baixo</v>
      </c>
      <c r="Z73" s="17" t="str">
        <f t="shared" si="11"/>
        <v>Sênior</v>
      </c>
      <c r="AA73" s="17" t="str">
        <f>IF($AG$10&gt;=Tabela1[[#This Row],[investimento]]&gt;=$AG$11,"OK","Outlier")</f>
        <v>OK</v>
      </c>
      <c r="AB73" s="17" t="str">
        <f>IF($AG$17&gt;=Tabela1[[#This Row],[visitantes]]&gt;=$AG$18,"OK","Outlier")</f>
        <v>OK</v>
      </c>
      <c r="AC73" s="17" t="str">
        <f>IF($AG$24&gt;=Tabela1[[#This Row],[leads_gerados]]&gt;=$AG$25,"OK","Outlier")</f>
        <v>OK</v>
      </c>
      <c r="AD73" s="17" t="str">
        <f>IF($AG$31&gt;=Tabela1[[#This Row],[ltv_estimado]]&gt;=$AG$32,"OK","Outlier")</f>
        <v>OK</v>
      </c>
      <c r="AE73" s="17"/>
    </row>
    <row r="74" spans="1:31" ht="15.75" customHeight="1" x14ac:dyDescent="0.25">
      <c r="A74" s="1" t="s">
        <v>48</v>
      </c>
      <c r="B74" s="2">
        <v>45544</v>
      </c>
      <c r="C74" s="1" t="s">
        <v>31</v>
      </c>
      <c r="D74" s="1" t="s">
        <v>22</v>
      </c>
      <c r="E74" s="1" t="s">
        <v>33</v>
      </c>
      <c r="F74" s="1">
        <v>2217</v>
      </c>
      <c r="G74" s="1">
        <v>1379</v>
      </c>
      <c r="H74" s="1">
        <v>188</v>
      </c>
      <c r="I74" s="1" t="s">
        <v>63</v>
      </c>
      <c r="J74" s="1">
        <v>19</v>
      </c>
      <c r="K74" s="1" t="s">
        <v>25</v>
      </c>
      <c r="L74" s="1">
        <v>0</v>
      </c>
      <c r="M74" s="1">
        <v>0</v>
      </c>
      <c r="N74">
        <v>40</v>
      </c>
      <c r="O74" s="1" t="s">
        <v>42</v>
      </c>
      <c r="P74" s="1" t="s">
        <v>51</v>
      </c>
      <c r="Q74" s="1">
        <v>91</v>
      </c>
      <c r="R74" s="1" t="s">
        <v>29</v>
      </c>
      <c r="S74" s="1">
        <v>2585</v>
      </c>
      <c r="T74" s="5">
        <f>Tabela1[[#This Row],[investimento]]/Tabela1[[#This Row],[leads_gerados]]</f>
        <v>11.792553191489361</v>
      </c>
      <c r="U74" s="5">
        <f>VLOOKUP(Tabela1[[#This Row],[canal_aquisicao]],Tabela2[#All],2,0)</f>
        <v>20204</v>
      </c>
      <c r="V74" s="1" t="str">
        <f t="shared" si="8"/>
        <v>Qualificado</v>
      </c>
      <c r="W74" s="1" t="str">
        <f>VLOOKUP(C74,Tabela5[#All],2,0)</f>
        <v>Intenção de Compra</v>
      </c>
      <c r="X74" s="14" t="str">
        <f t="shared" si="9"/>
        <v>Alto</v>
      </c>
      <c r="Y74" s="17" t="str">
        <f t="shared" si="10"/>
        <v>Sem Compra</v>
      </c>
      <c r="Z74" s="17" t="str">
        <f t="shared" si="11"/>
        <v>Adulto</v>
      </c>
      <c r="AA74" s="17" t="str">
        <f>IF($AG$10&gt;=Tabela1[[#This Row],[investimento]]&gt;=$AG$11,"OK","Outlier")</f>
        <v>OK</v>
      </c>
      <c r="AB74" s="17" t="str">
        <f>IF($AG$17&gt;=Tabela1[[#This Row],[visitantes]]&gt;=$AG$18,"OK","Outlier")</f>
        <v>OK</v>
      </c>
      <c r="AC74" s="17" t="str">
        <f>IF($AG$24&gt;=Tabela1[[#This Row],[leads_gerados]]&gt;=$AG$25,"OK","Outlier")</f>
        <v>OK</v>
      </c>
      <c r="AD74" s="17" t="str">
        <f>IF($AG$31&gt;=Tabela1[[#This Row],[ltv_estimado]]&gt;=$AG$32,"OK","Outlier")</f>
        <v>OK</v>
      </c>
      <c r="AE74" s="17"/>
    </row>
    <row r="75" spans="1:31" ht="15.75" customHeight="1" x14ac:dyDescent="0.25">
      <c r="A75" s="1" t="s">
        <v>62</v>
      </c>
      <c r="B75" s="2">
        <v>45832</v>
      </c>
      <c r="C75" s="1" t="s">
        <v>39</v>
      </c>
      <c r="D75" s="1" t="s">
        <v>22</v>
      </c>
      <c r="E75" s="1" t="s">
        <v>24</v>
      </c>
      <c r="F75" s="1">
        <v>5307</v>
      </c>
      <c r="G75" s="1">
        <v>1194</v>
      </c>
      <c r="H75" s="1">
        <v>11</v>
      </c>
      <c r="I75" s="1" t="s">
        <v>34</v>
      </c>
      <c r="J75" s="1">
        <v>5</v>
      </c>
      <c r="K75" s="1" t="s">
        <v>25</v>
      </c>
      <c r="L75" s="1">
        <v>0</v>
      </c>
      <c r="M75" s="1">
        <v>0</v>
      </c>
      <c r="N75">
        <v>40</v>
      </c>
      <c r="O75" s="1" t="s">
        <v>42</v>
      </c>
      <c r="P75" s="1" t="s">
        <v>46</v>
      </c>
      <c r="Q75" s="1">
        <v>18</v>
      </c>
      <c r="R75" s="1" t="s">
        <v>37</v>
      </c>
      <c r="S75" s="1">
        <v>3484</v>
      </c>
      <c r="T75" s="5">
        <f>Tabela1[[#This Row],[investimento]]/Tabela1[[#This Row],[leads_gerados]]</f>
        <v>482.45454545454544</v>
      </c>
      <c r="U75" s="5">
        <f>VLOOKUP(Tabela1[[#This Row],[canal_aquisicao]],Tabela2[#All],2,0)</f>
        <v>23256.714285714286</v>
      </c>
      <c r="V75" s="1" t="str">
        <f t="shared" si="8"/>
        <v>Não Qualificado</v>
      </c>
      <c r="W75" s="1" t="str">
        <f>VLOOKUP(C75,Tabela5[#All],2,0)</f>
        <v>Awareness</v>
      </c>
      <c r="X75" s="14" t="str">
        <f t="shared" si="9"/>
        <v>Baixo</v>
      </c>
      <c r="Y75" s="17" t="str">
        <f t="shared" si="10"/>
        <v>Sem Compra</v>
      </c>
      <c r="Z75" s="17" t="str">
        <f t="shared" si="11"/>
        <v>Adulto</v>
      </c>
      <c r="AA75" s="17" t="str">
        <f>IF($AG$10&gt;=Tabela1[[#This Row],[investimento]]&gt;=$AG$11,"OK","Outlier")</f>
        <v>OK</v>
      </c>
      <c r="AB75" s="17" t="str">
        <f>IF($AG$17&gt;=Tabela1[[#This Row],[visitantes]]&gt;=$AG$18,"OK","Outlier")</f>
        <v>OK</v>
      </c>
      <c r="AC75" s="17" t="str">
        <f>IF($AG$24&gt;=Tabela1[[#This Row],[leads_gerados]]&gt;=$AG$25,"OK","Outlier")</f>
        <v>OK</v>
      </c>
      <c r="AD75" s="17" t="str">
        <f>IF($AG$31&gt;=Tabela1[[#This Row],[ltv_estimado]]&gt;=$AG$32,"OK","Outlier")</f>
        <v>OK</v>
      </c>
      <c r="AE75" s="17"/>
    </row>
    <row r="76" spans="1:31" ht="15.75" customHeight="1" x14ac:dyDescent="0.25">
      <c r="A76" s="1" t="s">
        <v>155</v>
      </c>
      <c r="B76" s="2">
        <v>45315</v>
      </c>
      <c r="C76" s="1" t="s">
        <v>31</v>
      </c>
      <c r="D76" s="1" t="s">
        <v>22</v>
      </c>
      <c r="E76" s="1" t="s">
        <v>50</v>
      </c>
      <c r="F76" s="1">
        <v>2807</v>
      </c>
      <c r="G76" s="1">
        <v>4075</v>
      </c>
      <c r="H76" s="1">
        <v>200</v>
      </c>
      <c r="I76" s="1" t="s">
        <v>24</v>
      </c>
      <c r="J76" s="1">
        <v>34</v>
      </c>
      <c r="K76" s="1" t="s">
        <v>41</v>
      </c>
      <c r="L76" s="1">
        <v>503</v>
      </c>
      <c r="M76" s="1">
        <v>503</v>
      </c>
      <c r="N76" s="1">
        <v>52</v>
      </c>
      <c r="O76" s="1" t="s">
        <v>26</v>
      </c>
      <c r="P76" s="1" t="s">
        <v>46</v>
      </c>
      <c r="Q76" s="1">
        <v>53</v>
      </c>
      <c r="R76" s="1" t="s">
        <v>47</v>
      </c>
      <c r="S76" s="1">
        <v>4903</v>
      </c>
      <c r="T76" s="5">
        <f>Tabela1[[#This Row],[investimento]]/Tabela1[[#This Row],[leads_gerados]]</f>
        <v>14.035</v>
      </c>
      <c r="U76" s="5">
        <f>VLOOKUP(Tabela1[[#This Row],[canal_aquisicao]],Tabela2[#All],2,0)</f>
        <v>20204</v>
      </c>
      <c r="V76" s="1" t="str">
        <f t="shared" si="8"/>
        <v>Não Qualificado</v>
      </c>
      <c r="W76" s="1" t="str">
        <f>VLOOKUP(C76,Tabela5[#All],2,0)</f>
        <v>Intenção de Compra</v>
      </c>
      <c r="X76" s="14" t="str">
        <f t="shared" si="9"/>
        <v>Médio</v>
      </c>
      <c r="Y76" s="17" t="str">
        <f t="shared" si="10"/>
        <v>Alto</v>
      </c>
      <c r="Z76" s="17" t="str">
        <f t="shared" si="11"/>
        <v>Sênior</v>
      </c>
      <c r="AA76" s="17" t="str">
        <f>IF($AG$10&gt;=Tabela1[[#This Row],[investimento]]&gt;=$AG$11,"OK","Outlier")</f>
        <v>OK</v>
      </c>
      <c r="AB76" s="17" t="str">
        <f>IF($AG$17&gt;=Tabela1[[#This Row],[visitantes]]&gt;=$AG$18,"OK","Outlier")</f>
        <v>OK</v>
      </c>
      <c r="AC76" s="17" t="str">
        <f>IF($AG$24&gt;=Tabela1[[#This Row],[leads_gerados]]&gt;=$AG$25,"OK","Outlier")</f>
        <v>OK</v>
      </c>
      <c r="AD76" s="17" t="str">
        <f>IF($AG$31&gt;=Tabela1[[#This Row],[ltv_estimado]]&gt;=$AG$32,"OK","Outlier")</f>
        <v>OK</v>
      </c>
      <c r="AE76" s="17"/>
    </row>
    <row r="77" spans="1:31" ht="15.75" customHeight="1" x14ac:dyDescent="0.25">
      <c r="A77" s="1" t="s">
        <v>156</v>
      </c>
      <c r="B77" s="2">
        <v>45634</v>
      </c>
      <c r="C77" s="1" t="s">
        <v>21</v>
      </c>
      <c r="D77" s="1" t="s">
        <v>22</v>
      </c>
      <c r="E77" s="1" t="s">
        <v>23</v>
      </c>
      <c r="F77" s="1">
        <v>18497</v>
      </c>
      <c r="G77" s="1">
        <v>579</v>
      </c>
      <c r="H77" s="1">
        <v>34</v>
      </c>
      <c r="I77" s="1" t="s">
        <v>63</v>
      </c>
      <c r="J77" s="1">
        <v>9</v>
      </c>
      <c r="K77" s="1" t="s">
        <v>41</v>
      </c>
      <c r="L77" s="1">
        <v>785</v>
      </c>
      <c r="M77" s="1">
        <v>785</v>
      </c>
      <c r="N77" s="1">
        <v>20</v>
      </c>
      <c r="O77" s="1" t="s">
        <v>26</v>
      </c>
      <c r="P77" s="1" t="s">
        <v>46</v>
      </c>
      <c r="Q77" s="1">
        <v>70</v>
      </c>
      <c r="R77" s="1" t="s">
        <v>37</v>
      </c>
      <c r="S77" s="1">
        <v>4317</v>
      </c>
      <c r="T77" s="5">
        <f>Tabela1[[#This Row],[investimento]]/Tabela1[[#This Row],[leads_gerados]]</f>
        <v>544.02941176470586</v>
      </c>
      <c r="U77" s="5">
        <f>VLOOKUP(Tabela1[[#This Row],[canal_aquisicao]],Tabela2[#All],2,0)</f>
        <v>18122.25</v>
      </c>
      <c r="V77" s="1" t="str">
        <f t="shared" si="8"/>
        <v>Qualificado</v>
      </c>
      <c r="W77" s="1" t="str">
        <f>VLOOKUP(C77,Tabela5[#All],2,0)</f>
        <v>Intenção de Compra</v>
      </c>
      <c r="X77" s="14" t="str">
        <f t="shared" si="9"/>
        <v>Alto</v>
      </c>
      <c r="Y77" s="17" t="str">
        <f t="shared" si="10"/>
        <v>Alto</v>
      </c>
      <c r="Z77" s="17" t="str">
        <f t="shared" si="11"/>
        <v>Jovem</v>
      </c>
      <c r="AA77" s="17" t="str">
        <f>IF($AG$10&gt;=Tabela1[[#This Row],[investimento]]&gt;=$AG$11,"OK","Outlier")</f>
        <v>OK</v>
      </c>
      <c r="AB77" s="17" t="str">
        <f>IF($AG$17&gt;=Tabela1[[#This Row],[visitantes]]&gt;=$AG$18,"OK","Outlier")</f>
        <v>OK</v>
      </c>
      <c r="AC77" s="17" t="str">
        <f>IF($AG$24&gt;=Tabela1[[#This Row],[leads_gerados]]&gt;=$AG$25,"OK","Outlier")</f>
        <v>OK</v>
      </c>
      <c r="AD77" s="17" t="str">
        <f>IF($AG$31&gt;=Tabela1[[#This Row],[ltv_estimado]]&gt;=$AG$32,"OK","Outlier")</f>
        <v>OK</v>
      </c>
      <c r="AE77" s="17"/>
    </row>
    <row r="78" spans="1:31" ht="15.75" customHeight="1" x14ac:dyDescent="0.25">
      <c r="A78" s="1" t="s">
        <v>93</v>
      </c>
      <c r="B78" s="2">
        <v>45657</v>
      </c>
      <c r="C78" s="1" t="s">
        <v>57</v>
      </c>
      <c r="D78" s="1" t="s">
        <v>22</v>
      </c>
      <c r="E78" s="1" t="s">
        <v>24</v>
      </c>
      <c r="F78" s="1">
        <v>10165</v>
      </c>
      <c r="G78" s="1">
        <v>2321</v>
      </c>
      <c r="H78" s="1">
        <v>40</v>
      </c>
      <c r="I78" s="1" t="s">
        <v>24</v>
      </c>
      <c r="J78" s="1">
        <v>1</v>
      </c>
      <c r="K78" s="1" t="s">
        <v>41</v>
      </c>
      <c r="L78" s="1">
        <v>541</v>
      </c>
      <c r="M78" s="1">
        <v>180.33</v>
      </c>
      <c r="N78">
        <v>38</v>
      </c>
      <c r="O78" s="1" t="s">
        <v>26</v>
      </c>
      <c r="P78" s="1" t="s">
        <v>46</v>
      </c>
      <c r="Q78" s="1">
        <v>32</v>
      </c>
      <c r="R78" s="1" t="s">
        <v>37</v>
      </c>
      <c r="S78" s="1">
        <v>4020</v>
      </c>
      <c r="T78" s="5">
        <f>Tabela1[[#This Row],[investimento]]/Tabela1[[#This Row],[leads_gerados]]</f>
        <v>254.125</v>
      </c>
      <c r="U78" s="5">
        <f>VLOOKUP(Tabela1[[#This Row],[canal_aquisicao]],Tabela2[#All],2,0)</f>
        <v>22207.375</v>
      </c>
      <c r="V78" s="1" t="str">
        <f t="shared" si="8"/>
        <v>Não Qualificado</v>
      </c>
      <c r="W78" s="1" t="str">
        <f>VLOOKUP(C78,Tabela5[#All],2,0)</f>
        <v>Intenção de Compra</v>
      </c>
      <c r="X78" s="14" t="str">
        <f t="shared" si="9"/>
        <v>Baixo</v>
      </c>
      <c r="Y78" s="17" t="str">
        <f t="shared" si="10"/>
        <v>Médio</v>
      </c>
      <c r="Z78" s="17" t="str">
        <f t="shared" si="11"/>
        <v>Adulto</v>
      </c>
      <c r="AA78" s="17" t="str">
        <f>IF($AG$10&gt;=Tabela1[[#This Row],[investimento]]&gt;=$AG$11,"OK","Outlier")</f>
        <v>OK</v>
      </c>
      <c r="AB78" s="17" t="str">
        <f>IF($AG$17&gt;=Tabela1[[#This Row],[visitantes]]&gt;=$AG$18,"OK","Outlier")</f>
        <v>OK</v>
      </c>
      <c r="AC78" s="17" t="str">
        <f>IF($AG$24&gt;=Tabela1[[#This Row],[leads_gerados]]&gt;=$AG$25,"OK","Outlier")</f>
        <v>OK</v>
      </c>
      <c r="AD78" s="17" t="str">
        <f>IF($AG$31&gt;=Tabela1[[#This Row],[ltv_estimado]]&gt;=$AG$32,"OK","Outlier")</f>
        <v>OK</v>
      </c>
      <c r="AE78" s="17"/>
    </row>
    <row r="79" spans="1:31" ht="15.75" customHeight="1" x14ac:dyDescent="0.25">
      <c r="A79" s="1" t="s">
        <v>95</v>
      </c>
      <c r="B79" s="2">
        <v>45699</v>
      </c>
      <c r="C79" s="1" t="s">
        <v>39</v>
      </c>
      <c r="D79" s="1" t="s">
        <v>22</v>
      </c>
      <c r="E79" s="1" t="s">
        <v>23</v>
      </c>
      <c r="F79" s="1">
        <v>15638</v>
      </c>
      <c r="G79" s="1">
        <v>1471</v>
      </c>
      <c r="H79" s="1">
        <v>193</v>
      </c>
      <c r="I79" s="1" t="s">
        <v>58</v>
      </c>
      <c r="J79" s="1">
        <v>6</v>
      </c>
      <c r="K79" s="1" t="s">
        <v>41</v>
      </c>
      <c r="L79" s="1">
        <v>416</v>
      </c>
      <c r="M79" s="1">
        <v>208</v>
      </c>
      <c r="N79">
        <v>40</v>
      </c>
      <c r="O79" s="1" t="s">
        <v>42</v>
      </c>
      <c r="P79" s="1" t="s">
        <v>35</v>
      </c>
      <c r="Q79" s="1">
        <v>15</v>
      </c>
      <c r="R79" s="1" t="s">
        <v>37</v>
      </c>
      <c r="S79" s="1">
        <v>1940</v>
      </c>
      <c r="T79" s="5">
        <f>Tabela1[[#This Row],[investimento]]/Tabela1[[#This Row],[leads_gerados]]</f>
        <v>81.025906735751292</v>
      </c>
      <c r="U79" s="5">
        <f>VLOOKUP(Tabela1[[#This Row],[canal_aquisicao]],Tabela2[#All],2,0)</f>
        <v>23256.714285714286</v>
      </c>
      <c r="V79" s="1" t="str">
        <f t="shared" si="8"/>
        <v>Não Qualificado</v>
      </c>
      <c r="W79" s="1" t="str">
        <f>VLOOKUP(C79,Tabela5[#All],2,0)</f>
        <v>Awareness</v>
      </c>
      <c r="X79" s="14" t="str">
        <f t="shared" si="9"/>
        <v>Baixo</v>
      </c>
      <c r="Y79" s="17" t="str">
        <f t="shared" si="10"/>
        <v>Médio</v>
      </c>
      <c r="Z79" s="17" t="str">
        <f t="shared" si="11"/>
        <v>Adulto</v>
      </c>
      <c r="AA79" s="17" t="str">
        <f>IF($AG$10&gt;=Tabela1[[#This Row],[investimento]]&gt;=$AG$11,"OK","Outlier")</f>
        <v>OK</v>
      </c>
      <c r="AB79" s="17" t="str">
        <f>IF($AG$17&gt;=Tabela1[[#This Row],[visitantes]]&gt;=$AG$18,"OK","Outlier")</f>
        <v>OK</v>
      </c>
      <c r="AC79" s="17" t="str">
        <f>IF($AG$24&gt;=Tabela1[[#This Row],[leads_gerados]]&gt;=$AG$25,"OK","Outlier")</f>
        <v>OK</v>
      </c>
      <c r="AD79" s="17" t="str">
        <f>IF($AG$31&gt;=Tabela1[[#This Row],[ltv_estimado]]&gt;=$AG$32,"OK","Outlier")</f>
        <v>OK</v>
      </c>
      <c r="AE79" s="17"/>
    </row>
    <row r="80" spans="1:31" ht="15.75" customHeight="1" x14ac:dyDescent="0.25">
      <c r="A80" s="1" t="s">
        <v>75</v>
      </c>
      <c r="B80" s="2">
        <v>45778</v>
      </c>
      <c r="C80" s="1" t="s">
        <v>21</v>
      </c>
      <c r="D80" s="1" t="s">
        <v>22</v>
      </c>
      <c r="E80" s="1" t="s">
        <v>24</v>
      </c>
      <c r="F80" s="1">
        <v>8443</v>
      </c>
      <c r="G80" s="1">
        <v>3016</v>
      </c>
      <c r="H80" s="1">
        <v>58</v>
      </c>
      <c r="I80" s="1" t="s">
        <v>55</v>
      </c>
      <c r="J80" s="1">
        <v>14</v>
      </c>
      <c r="K80" s="1" t="s">
        <v>41</v>
      </c>
      <c r="L80" s="1">
        <v>569</v>
      </c>
      <c r="M80" s="1">
        <v>569</v>
      </c>
      <c r="N80" s="1">
        <v>53</v>
      </c>
      <c r="O80" s="1" t="s">
        <v>42</v>
      </c>
      <c r="P80" s="1" t="s">
        <v>51</v>
      </c>
      <c r="Q80" s="1">
        <v>63</v>
      </c>
      <c r="R80" s="1" t="s">
        <v>47</v>
      </c>
      <c r="S80" s="1">
        <v>5109</v>
      </c>
      <c r="T80" s="5">
        <f>Tabela1[[#This Row],[investimento]]/Tabela1[[#This Row],[leads_gerados]]</f>
        <v>145.56896551724137</v>
      </c>
      <c r="U80" s="5">
        <f>VLOOKUP(Tabela1[[#This Row],[canal_aquisicao]],Tabela2[#All],2,0)</f>
        <v>18122.25</v>
      </c>
      <c r="V80" s="1" t="str">
        <f t="shared" si="8"/>
        <v>Não Qualificado</v>
      </c>
      <c r="W80" s="1" t="str">
        <f>VLOOKUP(C80,Tabela5[#All],2,0)</f>
        <v>Intenção de Compra</v>
      </c>
      <c r="X80" s="14" t="str">
        <f t="shared" si="9"/>
        <v>Médio</v>
      </c>
      <c r="Y80" s="17" t="str">
        <f t="shared" si="10"/>
        <v>Alto</v>
      </c>
      <c r="Z80" s="17" t="str">
        <f t="shared" si="11"/>
        <v>Sênior</v>
      </c>
      <c r="AA80" s="17" t="str">
        <f>IF($AG$10&gt;=Tabela1[[#This Row],[investimento]]&gt;=$AG$11,"OK","Outlier")</f>
        <v>OK</v>
      </c>
      <c r="AB80" s="17" t="str">
        <f>IF($AG$17&gt;=Tabela1[[#This Row],[visitantes]]&gt;=$AG$18,"OK","Outlier")</f>
        <v>OK</v>
      </c>
      <c r="AC80" s="17" t="str">
        <f>IF($AG$24&gt;=Tabela1[[#This Row],[leads_gerados]]&gt;=$AG$25,"OK","Outlier")</f>
        <v>OK</v>
      </c>
      <c r="AD80" s="17" t="str">
        <f>IF($AG$31&gt;=Tabela1[[#This Row],[ltv_estimado]]&gt;=$AG$32,"OK","Outlier")</f>
        <v>OK</v>
      </c>
      <c r="AE80" s="17"/>
    </row>
    <row r="81" spans="1:31" ht="15.75" customHeight="1" x14ac:dyDescent="0.25">
      <c r="A81" s="1" t="s">
        <v>44</v>
      </c>
      <c r="B81" s="2">
        <v>45394</v>
      </c>
      <c r="C81" s="1" t="s">
        <v>39</v>
      </c>
      <c r="D81" s="1" t="s">
        <v>45</v>
      </c>
      <c r="E81" s="1" t="s">
        <v>33</v>
      </c>
      <c r="F81" s="1">
        <v>8957</v>
      </c>
      <c r="G81" s="1">
        <v>4236</v>
      </c>
      <c r="H81" s="1">
        <v>220</v>
      </c>
      <c r="I81" s="1" t="s">
        <v>34</v>
      </c>
      <c r="J81" s="1">
        <v>3</v>
      </c>
      <c r="K81" s="1" t="s">
        <v>41</v>
      </c>
      <c r="L81" s="1">
        <v>633</v>
      </c>
      <c r="M81" s="1">
        <v>211</v>
      </c>
      <c r="N81" s="1">
        <v>38</v>
      </c>
      <c r="O81" s="1" t="s">
        <v>42</v>
      </c>
      <c r="P81" s="1" t="s">
        <v>46</v>
      </c>
      <c r="Q81" s="1">
        <v>92</v>
      </c>
      <c r="R81" s="1" t="s">
        <v>47</v>
      </c>
      <c r="S81" s="1">
        <v>1741</v>
      </c>
      <c r="T81" s="5">
        <f>Tabela1[[#This Row],[investimento]]/Tabela1[[#This Row],[leads_gerados]]</f>
        <v>40.713636363636361</v>
      </c>
      <c r="U81" s="5">
        <f>VLOOKUP(Tabela1[[#This Row],[canal_aquisicao]],Tabela2[#All],2,0)</f>
        <v>23256.714285714286</v>
      </c>
      <c r="V81" s="1" t="str">
        <f t="shared" si="8"/>
        <v>Qualificado</v>
      </c>
      <c r="W81" s="1" t="str">
        <f>VLOOKUP(C81,Tabela5[#All],2,0)</f>
        <v>Awareness</v>
      </c>
      <c r="X81" s="14" t="str">
        <f t="shared" si="9"/>
        <v>Alto</v>
      </c>
      <c r="Y81" s="17" t="str">
        <f t="shared" si="10"/>
        <v>Médio</v>
      </c>
      <c r="Z81" s="17" t="str">
        <f t="shared" si="11"/>
        <v>Adulto</v>
      </c>
      <c r="AA81" s="17" t="str">
        <f>IF($AG$10&gt;=Tabela1[[#This Row],[investimento]]&gt;=$AG$11,"OK","Outlier")</f>
        <v>OK</v>
      </c>
      <c r="AB81" s="17" t="str">
        <f>IF($AG$17&gt;=Tabela1[[#This Row],[visitantes]]&gt;=$AG$18,"OK","Outlier")</f>
        <v>OK</v>
      </c>
      <c r="AC81" s="17" t="str">
        <f>IF($AG$24&gt;=Tabela1[[#This Row],[leads_gerados]]&gt;=$AG$25,"OK","Outlier")</f>
        <v>OK</v>
      </c>
      <c r="AD81" s="17" t="str">
        <f>IF($AG$31&gt;=Tabela1[[#This Row],[ltv_estimado]]&gt;=$AG$32,"OK","Outlier")</f>
        <v>OK</v>
      </c>
      <c r="AE81" s="17"/>
    </row>
    <row r="82" spans="1:31" ht="15.75" customHeight="1" x14ac:dyDescent="0.25">
      <c r="A82" s="1" t="s">
        <v>61</v>
      </c>
      <c r="B82" s="2">
        <v>45568</v>
      </c>
      <c r="C82" s="1" t="s">
        <v>54</v>
      </c>
      <c r="D82" s="1" t="s">
        <v>45</v>
      </c>
      <c r="E82" s="1" t="s">
        <v>50</v>
      </c>
      <c r="F82" s="1">
        <v>4818</v>
      </c>
      <c r="G82" s="1">
        <v>4015</v>
      </c>
      <c r="H82" s="1">
        <v>21</v>
      </c>
      <c r="I82" s="1" t="s">
        <v>34</v>
      </c>
      <c r="J82" s="1">
        <v>25</v>
      </c>
      <c r="K82" s="1" t="s">
        <v>25</v>
      </c>
      <c r="L82" s="1">
        <v>0</v>
      </c>
      <c r="M82" s="1">
        <v>0</v>
      </c>
      <c r="N82" s="1">
        <v>24</v>
      </c>
      <c r="O82" s="1" t="s">
        <v>42</v>
      </c>
      <c r="P82" s="1" t="s">
        <v>35</v>
      </c>
      <c r="Q82" s="1">
        <v>9</v>
      </c>
      <c r="R82" s="1" t="s">
        <v>47</v>
      </c>
      <c r="S82" s="1">
        <v>5341</v>
      </c>
      <c r="T82" s="5">
        <f>Tabela1[[#This Row],[investimento]]/Tabela1[[#This Row],[leads_gerados]]</f>
        <v>229.42857142857142</v>
      </c>
      <c r="U82" s="5">
        <f>VLOOKUP(Tabela1[[#This Row],[canal_aquisicao]],Tabela2[#All],2,0)</f>
        <v>23467.142857142859</v>
      </c>
      <c r="V82" s="1" t="str">
        <f t="shared" si="8"/>
        <v>Não Qualificado</v>
      </c>
      <c r="W82" s="1" t="str">
        <f>VLOOKUP(C82,Tabela5[#All],2,0)</f>
        <v>Awareness</v>
      </c>
      <c r="X82" s="14" t="str">
        <f t="shared" si="9"/>
        <v>Baixo</v>
      </c>
      <c r="Y82" s="17" t="str">
        <f t="shared" si="10"/>
        <v>Sem Compra</v>
      </c>
      <c r="Z82" s="17" t="str">
        <f t="shared" si="11"/>
        <v>Jovem</v>
      </c>
      <c r="AA82" s="17" t="str">
        <f>IF($AG$10&gt;=Tabela1[[#This Row],[investimento]]&gt;=$AG$11,"OK","Outlier")</f>
        <v>OK</v>
      </c>
      <c r="AB82" s="17" t="str">
        <f>IF($AG$17&gt;=Tabela1[[#This Row],[visitantes]]&gt;=$AG$18,"OK","Outlier")</f>
        <v>OK</v>
      </c>
      <c r="AC82" s="17" t="str">
        <f>IF($AG$24&gt;=Tabela1[[#This Row],[leads_gerados]]&gt;=$AG$25,"OK","Outlier")</f>
        <v>OK</v>
      </c>
      <c r="AD82" s="17" t="str">
        <f>IF($AG$31&gt;=Tabela1[[#This Row],[ltv_estimado]]&gt;=$AG$32,"OK","Outlier")</f>
        <v>OK</v>
      </c>
      <c r="AE82" s="17"/>
    </row>
    <row r="83" spans="1:31" ht="15.75" customHeight="1" x14ac:dyDescent="0.25">
      <c r="A83" s="1" t="s">
        <v>62</v>
      </c>
      <c r="B83" s="2">
        <v>45784</v>
      </c>
      <c r="C83" s="1" t="s">
        <v>31</v>
      </c>
      <c r="D83" s="1" t="s">
        <v>45</v>
      </c>
      <c r="E83" s="1" t="s">
        <v>33</v>
      </c>
      <c r="F83" s="1">
        <v>11318</v>
      </c>
      <c r="G83" s="1">
        <v>3820</v>
      </c>
      <c r="H83" s="1">
        <v>229</v>
      </c>
      <c r="I83" s="1" t="s">
        <v>63</v>
      </c>
      <c r="J83" s="1">
        <v>23</v>
      </c>
      <c r="K83" s="1" t="s">
        <v>41</v>
      </c>
      <c r="L83" s="1">
        <v>819</v>
      </c>
      <c r="M83" s="1">
        <v>273</v>
      </c>
      <c r="N83" s="1">
        <v>20</v>
      </c>
      <c r="O83" s="1" t="s">
        <v>26</v>
      </c>
      <c r="P83" s="1" t="s">
        <v>59</v>
      </c>
      <c r="Q83" s="1">
        <v>85</v>
      </c>
      <c r="R83" s="1" t="s">
        <v>47</v>
      </c>
      <c r="S83" s="1">
        <v>3811</v>
      </c>
      <c r="T83" s="5">
        <f>Tabela1[[#This Row],[investimento]]/Tabela1[[#This Row],[leads_gerados]]</f>
        <v>49.4235807860262</v>
      </c>
      <c r="U83" s="5">
        <f>VLOOKUP(Tabela1[[#This Row],[canal_aquisicao]],Tabela2[#All],2,0)</f>
        <v>20204</v>
      </c>
      <c r="V83" s="1" t="str">
        <f t="shared" si="8"/>
        <v>Qualificado</v>
      </c>
      <c r="W83" s="1" t="str">
        <f>VLOOKUP(C83,Tabela5[#All],2,0)</f>
        <v>Intenção de Compra</v>
      </c>
      <c r="X83" s="14" t="str">
        <f t="shared" si="9"/>
        <v>Alto</v>
      </c>
      <c r="Y83" s="17" t="str">
        <f t="shared" si="10"/>
        <v>Médio</v>
      </c>
      <c r="Z83" s="17" t="str">
        <f t="shared" si="11"/>
        <v>Jovem</v>
      </c>
      <c r="AA83" s="17" t="str">
        <f>IF($AG$10&gt;=Tabela1[[#This Row],[investimento]]&gt;=$AG$11,"OK","Outlier")</f>
        <v>OK</v>
      </c>
      <c r="AB83" s="17" t="str">
        <f>IF($AG$17&gt;=Tabela1[[#This Row],[visitantes]]&gt;=$AG$18,"OK","Outlier")</f>
        <v>OK</v>
      </c>
      <c r="AC83" s="17" t="str">
        <f>IF($AG$24&gt;=Tabela1[[#This Row],[leads_gerados]]&gt;=$AG$25,"OK","Outlier")</f>
        <v>OK</v>
      </c>
      <c r="AD83" s="17" t="str">
        <f>IF($AG$31&gt;=Tabela1[[#This Row],[ltv_estimado]]&gt;=$AG$32,"OK","Outlier")</f>
        <v>OK</v>
      </c>
      <c r="AE83" s="17"/>
    </row>
    <row r="84" spans="1:31" ht="15.75" customHeight="1" x14ac:dyDescent="0.25">
      <c r="A84" s="1" t="s">
        <v>67</v>
      </c>
      <c r="B84" s="2">
        <v>45587</v>
      </c>
      <c r="C84" s="1" t="s">
        <v>39</v>
      </c>
      <c r="D84" s="1" t="s">
        <v>45</v>
      </c>
      <c r="E84" s="1" t="s">
        <v>23</v>
      </c>
      <c r="F84" s="1">
        <v>16698</v>
      </c>
      <c r="G84" s="1">
        <v>159</v>
      </c>
      <c r="H84" s="1">
        <v>33</v>
      </c>
      <c r="I84" s="1" t="s">
        <v>55</v>
      </c>
      <c r="J84" s="1">
        <v>15</v>
      </c>
      <c r="K84" s="1" t="s">
        <v>41</v>
      </c>
      <c r="L84" s="1">
        <v>281</v>
      </c>
      <c r="M84" s="1">
        <v>140.5</v>
      </c>
      <c r="N84">
        <v>38</v>
      </c>
      <c r="O84" s="1" t="s">
        <v>26</v>
      </c>
      <c r="P84" s="1" t="s">
        <v>35</v>
      </c>
      <c r="Q84" s="1">
        <v>20</v>
      </c>
      <c r="R84" s="1" t="s">
        <v>47</v>
      </c>
      <c r="S84" s="1">
        <v>662</v>
      </c>
      <c r="T84" s="5">
        <f>Tabela1[[#This Row],[investimento]]/Tabela1[[#This Row],[leads_gerados]]</f>
        <v>506</v>
      </c>
      <c r="U84" s="5">
        <f>VLOOKUP(Tabela1[[#This Row],[canal_aquisicao]],Tabela2[#All],2,0)</f>
        <v>23256.714285714286</v>
      </c>
      <c r="V84" s="1" t="str">
        <f t="shared" si="8"/>
        <v>Não Qualificado</v>
      </c>
      <c r="W84" s="1" t="str">
        <f>VLOOKUP(C84,Tabela5[#All],2,0)</f>
        <v>Awareness</v>
      </c>
      <c r="X84" s="14" t="str">
        <f t="shared" si="9"/>
        <v>Baixo</v>
      </c>
      <c r="Y84" s="17" t="str">
        <f t="shared" si="10"/>
        <v>Baixo</v>
      </c>
      <c r="Z84" s="17" t="str">
        <f t="shared" si="11"/>
        <v>Adulto</v>
      </c>
      <c r="AA84" s="17" t="str">
        <f>IF($AG$10&gt;=Tabela1[[#This Row],[investimento]]&gt;=$AG$11,"OK","Outlier")</f>
        <v>OK</v>
      </c>
      <c r="AB84" s="17" t="str">
        <f>IF($AG$17&gt;=Tabela1[[#This Row],[visitantes]]&gt;=$AG$18,"OK","Outlier")</f>
        <v>OK</v>
      </c>
      <c r="AC84" s="17" t="str">
        <f>IF($AG$24&gt;=Tabela1[[#This Row],[leads_gerados]]&gt;=$AG$25,"OK","Outlier")</f>
        <v>OK</v>
      </c>
      <c r="AD84" s="17" t="str">
        <f>IF($AG$31&gt;=Tabela1[[#This Row],[ltv_estimado]]&gt;=$AG$32,"OK","Outlier")</f>
        <v>OK</v>
      </c>
      <c r="AE84" s="17"/>
    </row>
    <row r="85" spans="1:31" ht="15.75" customHeight="1" x14ac:dyDescent="0.25">
      <c r="A85" s="1" t="s">
        <v>64</v>
      </c>
      <c r="B85" s="2">
        <v>45550</v>
      </c>
      <c r="C85" s="1" t="s">
        <v>21</v>
      </c>
      <c r="D85" s="1" t="s">
        <v>45</v>
      </c>
      <c r="E85" s="1" t="s">
        <v>50</v>
      </c>
      <c r="F85" s="1">
        <v>3082</v>
      </c>
      <c r="G85" s="1">
        <v>3332</v>
      </c>
      <c r="H85" s="1">
        <v>271</v>
      </c>
      <c r="I85" s="1" t="s">
        <v>34</v>
      </c>
      <c r="J85" s="1">
        <v>33</v>
      </c>
      <c r="K85" s="1" t="s">
        <v>41</v>
      </c>
      <c r="L85" s="1">
        <v>436</v>
      </c>
      <c r="M85" s="1">
        <v>218</v>
      </c>
      <c r="N85" s="1">
        <v>19</v>
      </c>
      <c r="O85" s="1" t="s">
        <v>42</v>
      </c>
      <c r="P85" s="1" t="s">
        <v>46</v>
      </c>
      <c r="Q85" s="1">
        <v>68</v>
      </c>
      <c r="R85" s="1" t="s">
        <v>37</v>
      </c>
      <c r="S85" s="1">
        <v>2460</v>
      </c>
      <c r="T85" s="5">
        <f>Tabela1[[#This Row],[investimento]]/Tabela1[[#This Row],[leads_gerados]]</f>
        <v>11.372693726937269</v>
      </c>
      <c r="U85" s="5">
        <f>VLOOKUP(Tabela1[[#This Row],[canal_aquisicao]],Tabela2[#All],2,0)</f>
        <v>18122.25</v>
      </c>
      <c r="V85" s="1" t="str">
        <f t="shared" si="8"/>
        <v>Não Qualificado</v>
      </c>
      <c r="W85" s="1" t="str">
        <f>VLOOKUP(C85,Tabela5[#All],2,0)</f>
        <v>Intenção de Compra</v>
      </c>
      <c r="X85" s="14" t="str">
        <f t="shared" si="9"/>
        <v>Médio</v>
      </c>
      <c r="Y85" s="17" t="str">
        <f t="shared" si="10"/>
        <v>Médio</v>
      </c>
      <c r="Z85" s="17" t="str">
        <f t="shared" si="11"/>
        <v>Jovem</v>
      </c>
      <c r="AA85" s="17" t="str">
        <f>IF($AG$10&gt;=Tabela1[[#This Row],[investimento]]&gt;=$AG$11,"OK","Outlier")</f>
        <v>OK</v>
      </c>
      <c r="AB85" s="17" t="str">
        <f>IF($AG$17&gt;=Tabela1[[#This Row],[visitantes]]&gt;=$AG$18,"OK","Outlier")</f>
        <v>OK</v>
      </c>
      <c r="AC85" s="17" t="str">
        <f>IF($AG$24&gt;=Tabela1[[#This Row],[leads_gerados]]&gt;=$AG$25,"OK","Outlier")</f>
        <v>OK</v>
      </c>
      <c r="AD85" s="17" t="str">
        <f>IF($AG$31&gt;=Tabela1[[#This Row],[ltv_estimado]]&gt;=$AG$32,"OK","Outlier")</f>
        <v>OK</v>
      </c>
      <c r="AE85" s="17"/>
    </row>
    <row r="86" spans="1:31" ht="15.75" customHeight="1" x14ac:dyDescent="0.25">
      <c r="A86" s="1" t="s">
        <v>75</v>
      </c>
      <c r="B86" s="2">
        <v>45507</v>
      </c>
      <c r="C86" s="1" t="s">
        <v>21</v>
      </c>
      <c r="D86" s="1" t="s">
        <v>45</v>
      </c>
      <c r="E86" s="1" t="s">
        <v>33</v>
      </c>
      <c r="F86" s="1">
        <v>13259</v>
      </c>
      <c r="G86" s="1">
        <v>810</v>
      </c>
      <c r="H86" s="1">
        <v>73</v>
      </c>
      <c r="I86" s="1" t="s">
        <v>55</v>
      </c>
      <c r="J86" s="1">
        <v>27</v>
      </c>
      <c r="K86" s="1" t="s">
        <v>41</v>
      </c>
      <c r="L86" s="1">
        <v>701</v>
      </c>
      <c r="M86" s="1">
        <v>233.67</v>
      </c>
      <c r="N86">
        <v>38</v>
      </c>
      <c r="O86" s="1" t="s">
        <v>26</v>
      </c>
      <c r="P86" s="1" t="s">
        <v>35</v>
      </c>
      <c r="Q86" s="1">
        <v>72</v>
      </c>
      <c r="R86" s="1" t="s">
        <v>37</v>
      </c>
      <c r="S86" s="1">
        <v>5281</v>
      </c>
      <c r="T86" s="5">
        <f>Tabela1[[#This Row],[investimento]]/Tabela1[[#This Row],[leads_gerados]]</f>
        <v>181.63013698630138</v>
      </c>
      <c r="U86" s="5">
        <f>VLOOKUP(Tabela1[[#This Row],[canal_aquisicao]],Tabela2[#All],2,0)</f>
        <v>18122.25</v>
      </c>
      <c r="V86" s="1" t="str">
        <f t="shared" si="8"/>
        <v>Qualificado</v>
      </c>
      <c r="W86" s="1" t="str">
        <f>VLOOKUP(C86,Tabela5[#All],2,0)</f>
        <v>Intenção de Compra</v>
      </c>
      <c r="X86" s="14" t="str">
        <f t="shared" si="9"/>
        <v>Alto</v>
      </c>
      <c r="Y86" s="17" t="str">
        <f t="shared" si="10"/>
        <v>Médio</v>
      </c>
      <c r="Z86" s="17" t="str">
        <f t="shared" si="11"/>
        <v>Adulto</v>
      </c>
      <c r="AA86" s="17" t="str">
        <f>IF($AG$10&gt;=Tabela1[[#This Row],[investimento]]&gt;=$AG$11,"OK","Outlier")</f>
        <v>OK</v>
      </c>
      <c r="AB86" s="17" t="str">
        <f>IF($AG$17&gt;=Tabela1[[#This Row],[visitantes]]&gt;=$AG$18,"OK","Outlier")</f>
        <v>OK</v>
      </c>
      <c r="AC86" s="17" t="str">
        <f>IF($AG$24&gt;=Tabela1[[#This Row],[leads_gerados]]&gt;=$AG$25,"OK","Outlier")</f>
        <v>OK</v>
      </c>
      <c r="AD86" s="17" t="str">
        <f>IF($AG$31&gt;=Tabela1[[#This Row],[ltv_estimado]]&gt;=$AG$32,"OK","Outlier")</f>
        <v>OK</v>
      </c>
      <c r="AE86" s="17"/>
    </row>
    <row r="87" spans="1:31" ht="15.75" customHeight="1" x14ac:dyDescent="0.25">
      <c r="A87" s="1" t="s">
        <v>79</v>
      </c>
      <c r="B87" s="2">
        <v>45508</v>
      </c>
      <c r="C87" s="1" t="s">
        <v>31</v>
      </c>
      <c r="D87" s="1" t="s">
        <v>45</v>
      </c>
      <c r="E87" s="1" t="s">
        <v>50</v>
      </c>
      <c r="F87" s="1">
        <v>8445</v>
      </c>
      <c r="G87" s="1">
        <v>750</v>
      </c>
      <c r="H87" s="1">
        <v>253</v>
      </c>
      <c r="I87" s="1" t="s">
        <v>24</v>
      </c>
      <c r="J87" s="1">
        <v>2</v>
      </c>
      <c r="K87" s="1" t="s">
        <v>25</v>
      </c>
      <c r="L87" s="1">
        <v>0</v>
      </c>
      <c r="M87" s="1">
        <v>0</v>
      </c>
      <c r="N87">
        <v>38</v>
      </c>
      <c r="O87" s="1" t="s">
        <v>26</v>
      </c>
      <c r="P87" s="1" t="s">
        <v>51</v>
      </c>
      <c r="Q87" s="1">
        <v>9</v>
      </c>
      <c r="R87" s="1" t="s">
        <v>29</v>
      </c>
      <c r="S87" s="1">
        <v>5364</v>
      </c>
      <c r="T87" s="5">
        <f>Tabela1[[#This Row],[investimento]]/Tabela1[[#This Row],[leads_gerados]]</f>
        <v>33.379446640316203</v>
      </c>
      <c r="U87" s="5">
        <f>VLOOKUP(Tabela1[[#This Row],[canal_aquisicao]],Tabela2[#All],2,0)</f>
        <v>20204</v>
      </c>
      <c r="V87" s="1" t="str">
        <f t="shared" si="8"/>
        <v>Não Qualificado</v>
      </c>
      <c r="W87" s="1" t="str">
        <f>VLOOKUP(C87,Tabela5[#All],2,0)</f>
        <v>Intenção de Compra</v>
      </c>
      <c r="X87" s="14" t="str">
        <f t="shared" si="9"/>
        <v>Baixo</v>
      </c>
      <c r="Y87" s="17" t="str">
        <f t="shared" si="10"/>
        <v>Sem Compra</v>
      </c>
      <c r="Z87" s="17" t="str">
        <f t="shared" si="11"/>
        <v>Adulto</v>
      </c>
      <c r="AA87" s="17" t="str">
        <f>IF($AG$10&gt;=Tabela1[[#This Row],[investimento]]&gt;=$AG$11,"OK","Outlier")</f>
        <v>OK</v>
      </c>
      <c r="AB87" s="17" t="str">
        <f>IF($AG$17&gt;=Tabela1[[#This Row],[visitantes]]&gt;=$AG$18,"OK","Outlier")</f>
        <v>OK</v>
      </c>
      <c r="AC87" s="17" t="str">
        <f>IF($AG$24&gt;=Tabela1[[#This Row],[leads_gerados]]&gt;=$AG$25,"OK","Outlier")</f>
        <v>OK</v>
      </c>
      <c r="AD87" s="17" t="str">
        <f>IF($AG$31&gt;=Tabela1[[#This Row],[ltv_estimado]]&gt;=$AG$32,"OK","Outlier")</f>
        <v>OK</v>
      </c>
      <c r="AE87" s="17"/>
    </row>
    <row r="88" spans="1:31" ht="15.75" customHeight="1" x14ac:dyDescent="0.25">
      <c r="A88" s="1" t="s">
        <v>83</v>
      </c>
      <c r="B88" s="2">
        <v>45311</v>
      </c>
      <c r="C88" s="1" t="s">
        <v>31</v>
      </c>
      <c r="D88" s="1" t="s">
        <v>45</v>
      </c>
      <c r="E88" s="1" t="s">
        <v>50</v>
      </c>
      <c r="F88" s="1">
        <v>6493</v>
      </c>
      <c r="G88" s="1">
        <v>1668</v>
      </c>
      <c r="H88" s="1">
        <v>73</v>
      </c>
      <c r="I88" s="1" t="s">
        <v>40</v>
      </c>
      <c r="J88" s="1">
        <v>7</v>
      </c>
      <c r="K88" s="1" t="s">
        <v>41</v>
      </c>
      <c r="L88" s="1">
        <v>625</v>
      </c>
      <c r="M88" s="1">
        <v>625</v>
      </c>
      <c r="N88">
        <v>38</v>
      </c>
      <c r="O88" s="1" t="s">
        <v>26</v>
      </c>
      <c r="P88" s="1" t="s">
        <v>46</v>
      </c>
      <c r="Q88" s="1">
        <v>98</v>
      </c>
      <c r="R88" s="1" t="s">
        <v>37</v>
      </c>
      <c r="S88" s="1">
        <v>2159</v>
      </c>
      <c r="T88" s="5">
        <f>Tabela1[[#This Row],[investimento]]/Tabela1[[#This Row],[leads_gerados]]</f>
        <v>88.945205479452056</v>
      </c>
      <c r="U88" s="5">
        <f>VLOOKUP(Tabela1[[#This Row],[canal_aquisicao]],Tabela2[#All],2,0)</f>
        <v>20204</v>
      </c>
      <c r="V88" s="1" t="str">
        <f t="shared" si="8"/>
        <v>Qualificado</v>
      </c>
      <c r="W88" s="1" t="str">
        <f>VLOOKUP(C88,Tabela5[#All],2,0)</f>
        <v>Intenção de Compra</v>
      </c>
      <c r="X88" s="14" t="str">
        <f t="shared" si="9"/>
        <v>Alto</v>
      </c>
      <c r="Y88" s="17" t="str">
        <f t="shared" si="10"/>
        <v>Alto</v>
      </c>
      <c r="Z88" s="17" t="str">
        <f t="shared" si="11"/>
        <v>Adulto</v>
      </c>
      <c r="AA88" s="17" t="str">
        <f>IF($AG$10&gt;=Tabela1[[#This Row],[investimento]]&gt;=$AG$11,"OK","Outlier")</f>
        <v>OK</v>
      </c>
      <c r="AB88" s="17" t="str">
        <f>IF($AG$17&gt;=Tabela1[[#This Row],[visitantes]]&gt;=$AG$18,"OK","Outlier")</f>
        <v>OK</v>
      </c>
      <c r="AC88" s="17" t="str">
        <f>IF($AG$24&gt;=Tabela1[[#This Row],[leads_gerados]]&gt;=$AG$25,"OK","Outlier")</f>
        <v>OK</v>
      </c>
      <c r="AD88" s="17" t="str">
        <f>IF($AG$31&gt;=Tabela1[[#This Row],[ltv_estimado]]&gt;=$AG$32,"OK","Outlier")</f>
        <v>OK</v>
      </c>
      <c r="AE88" s="17"/>
    </row>
    <row r="89" spans="1:31" ht="15.75" customHeight="1" x14ac:dyDescent="0.25">
      <c r="A89" s="1" t="s">
        <v>85</v>
      </c>
      <c r="B89" s="2">
        <v>45551</v>
      </c>
      <c r="C89" s="1" t="s">
        <v>54</v>
      </c>
      <c r="D89" s="1" t="s">
        <v>45</v>
      </c>
      <c r="E89" s="1" t="s">
        <v>50</v>
      </c>
      <c r="F89" s="1">
        <v>12590</v>
      </c>
      <c r="G89" s="1">
        <v>3246</v>
      </c>
      <c r="H89" s="1">
        <v>254</v>
      </c>
      <c r="I89" s="1" t="s">
        <v>24</v>
      </c>
      <c r="J89" s="1">
        <v>14</v>
      </c>
      <c r="K89" s="1" t="s">
        <v>25</v>
      </c>
      <c r="L89" s="1">
        <v>0</v>
      </c>
      <c r="M89" s="1">
        <v>0</v>
      </c>
      <c r="N89">
        <v>40</v>
      </c>
      <c r="O89" s="1" t="s">
        <v>42</v>
      </c>
      <c r="P89" s="1" t="s">
        <v>46</v>
      </c>
      <c r="Q89" s="1">
        <v>63</v>
      </c>
      <c r="R89" s="1" t="s">
        <v>37</v>
      </c>
      <c r="S89" s="1">
        <v>2691</v>
      </c>
      <c r="T89" s="5">
        <f>Tabela1[[#This Row],[investimento]]/Tabela1[[#This Row],[leads_gerados]]</f>
        <v>49.566929133858267</v>
      </c>
      <c r="U89" s="5">
        <f>VLOOKUP(Tabela1[[#This Row],[canal_aquisicao]],Tabela2[#All],2,0)</f>
        <v>23467.142857142859</v>
      </c>
      <c r="V89" s="1" t="str">
        <f t="shared" si="8"/>
        <v>Não Qualificado</v>
      </c>
      <c r="W89" s="1" t="str">
        <f>VLOOKUP(C89,Tabela5[#All],2,0)</f>
        <v>Awareness</v>
      </c>
      <c r="X89" s="14" t="str">
        <f t="shared" si="9"/>
        <v>Médio</v>
      </c>
      <c r="Y89" s="17" t="str">
        <f t="shared" si="10"/>
        <v>Sem Compra</v>
      </c>
      <c r="Z89" s="17" t="str">
        <f t="shared" si="11"/>
        <v>Adulto</v>
      </c>
      <c r="AA89" s="17" t="str">
        <f>IF($AG$10&gt;=Tabela1[[#This Row],[investimento]]&gt;=$AG$11,"OK","Outlier")</f>
        <v>OK</v>
      </c>
      <c r="AB89" s="17" t="str">
        <f>IF($AG$17&gt;=Tabela1[[#This Row],[visitantes]]&gt;=$AG$18,"OK","Outlier")</f>
        <v>OK</v>
      </c>
      <c r="AC89" s="17" t="str">
        <f>IF($AG$24&gt;=Tabela1[[#This Row],[leads_gerados]]&gt;=$AG$25,"OK","Outlier")</f>
        <v>OK</v>
      </c>
      <c r="AD89" s="17" t="str">
        <f>IF($AG$31&gt;=Tabela1[[#This Row],[ltv_estimado]]&gt;=$AG$32,"OK","Outlier")</f>
        <v>OK</v>
      </c>
      <c r="AE89" s="17"/>
    </row>
    <row r="90" spans="1:31" ht="15.75" customHeight="1" x14ac:dyDescent="0.25">
      <c r="A90" s="1" t="s">
        <v>86</v>
      </c>
      <c r="B90" s="2">
        <v>45825</v>
      </c>
      <c r="C90" s="1" t="s">
        <v>31</v>
      </c>
      <c r="D90" s="1" t="s">
        <v>45</v>
      </c>
      <c r="E90" s="1" t="s">
        <v>50</v>
      </c>
      <c r="F90" s="1">
        <v>6057</v>
      </c>
      <c r="G90" s="1">
        <v>1207</v>
      </c>
      <c r="H90" s="1">
        <v>299</v>
      </c>
      <c r="I90" s="1" t="s">
        <v>34</v>
      </c>
      <c r="J90" s="1">
        <v>5</v>
      </c>
      <c r="K90" s="1" t="s">
        <v>25</v>
      </c>
      <c r="L90" s="1">
        <v>0</v>
      </c>
      <c r="M90" s="1">
        <v>0</v>
      </c>
      <c r="N90" s="1">
        <v>29</v>
      </c>
      <c r="O90" s="1" t="s">
        <v>42</v>
      </c>
      <c r="P90" s="1" t="s">
        <v>35</v>
      </c>
      <c r="Q90" s="1">
        <v>78</v>
      </c>
      <c r="R90" s="1" t="s">
        <v>47</v>
      </c>
      <c r="S90" s="1">
        <v>1689</v>
      </c>
      <c r="T90" s="5">
        <f>Tabela1[[#This Row],[investimento]]/Tabela1[[#This Row],[leads_gerados]]</f>
        <v>20.257525083612041</v>
      </c>
      <c r="U90" s="5">
        <f>VLOOKUP(Tabela1[[#This Row],[canal_aquisicao]],Tabela2[#All],2,0)</f>
        <v>20204</v>
      </c>
      <c r="V90" s="1" t="str">
        <f t="shared" si="8"/>
        <v>Qualificado</v>
      </c>
      <c r="W90" s="1" t="str">
        <f>VLOOKUP(C90,Tabela5[#All],2,0)</f>
        <v>Intenção de Compra</v>
      </c>
      <c r="X90" s="14" t="str">
        <f t="shared" si="9"/>
        <v>Alto</v>
      </c>
      <c r="Y90" s="17" t="str">
        <f t="shared" si="10"/>
        <v>Sem Compra</v>
      </c>
      <c r="Z90" s="17" t="str">
        <f t="shared" si="11"/>
        <v>Adulto</v>
      </c>
      <c r="AA90" s="17" t="str">
        <f>IF($AG$10&gt;=Tabela1[[#This Row],[investimento]]&gt;=$AG$11,"OK","Outlier")</f>
        <v>OK</v>
      </c>
      <c r="AB90" s="17" t="str">
        <f>IF($AG$17&gt;=Tabela1[[#This Row],[visitantes]]&gt;=$AG$18,"OK","Outlier")</f>
        <v>OK</v>
      </c>
      <c r="AC90" s="17" t="str">
        <f>IF($AG$24&gt;=Tabela1[[#This Row],[leads_gerados]]&gt;=$AG$25,"OK","Outlier")</f>
        <v>OK</v>
      </c>
      <c r="AD90" s="17" t="str">
        <f>IF($AG$31&gt;=Tabela1[[#This Row],[ltv_estimado]]&gt;=$AG$32,"OK","Outlier")</f>
        <v>OK</v>
      </c>
      <c r="AE90" s="17"/>
    </row>
    <row r="91" spans="1:31" ht="15.75" customHeight="1" x14ac:dyDescent="0.25">
      <c r="A91" s="1" t="s">
        <v>85</v>
      </c>
      <c r="B91" s="2">
        <v>45372</v>
      </c>
      <c r="C91" s="1" t="s">
        <v>31</v>
      </c>
      <c r="D91" s="1" t="s">
        <v>45</v>
      </c>
      <c r="E91" s="1" t="s">
        <v>24</v>
      </c>
      <c r="F91" s="1">
        <v>17436</v>
      </c>
      <c r="G91" s="1">
        <v>1514</v>
      </c>
      <c r="H91" s="1">
        <v>285</v>
      </c>
      <c r="I91" s="1" t="s">
        <v>63</v>
      </c>
      <c r="J91" s="1">
        <v>5</v>
      </c>
      <c r="K91" s="1" t="s">
        <v>41</v>
      </c>
      <c r="L91" s="1">
        <v>420</v>
      </c>
      <c r="M91" s="1">
        <v>140</v>
      </c>
      <c r="N91" s="1">
        <v>52</v>
      </c>
      <c r="O91" s="1" t="s">
        <v>26</v>
      </c>
      <c r="P91" s="1" t="s">
        <v>35</v>
      </c>
      <c r="Q91" s="1">
        <v>13</v>
      </c>
      <c r="R91" s="1" t="s">
        <v>29</v>
      </c>
      <c r="S91" s="1">
        <v>5744</v>
      </c>
      <c r="T91" s="5">
        <f>Tabela1[[#This Row],[investimento]]/Tabela1[[#This Row],[leads_gerados]]</f>
        <v>61.178947368421049</v>
      </c>
      <c r="U91" s="5">
        <f>VLOOKUP(Tabela1[[#This Row],[canal_aquisicao]],Tabela2[#All],2,0)</f>
        <v>20204</v>
      </c>
      <c r="V91" s="1" t="str">
        <f t="shared" si="8"/>
        <v>Não Qualificado</v>
      </c>
      <c r="W91" s="1" t="str">
        <f>VLOOKUP(C91,Tabela5[#All],2,0)</f>
        <v>Intenção de Compra</v>
      </c>
      <c r="X91" s="14" t="str">
        <f t="shared" si="9"/>
        <v>Baixo</v>
      </c>
      <c r="Y91" s="17" t="str">
        <f t="shared" si="10"/>
        <v>Baixo</v>
      </c>
      <c r="Z91" s="17" t="str">
        <f t="shared" si="11"/>
        <v>Sênior</v>
      </c>
      <c r="AA91" s="17" t="str">
        <f>IF($AG$10&gt;=Tabela1[[#This Row],[investimento]]&gt;=$AG$11,"OK","Outlier")</f>
        <v>OK</v>
      </c>
      <c r="AB91" s="17" t="str">
        <f>IF($AG$17&gt;=Tabela1[[#This Row],[visitantes]]&gt;=$AG$18,"OK","Outlier")</f>
        <v>OK</v>
      </c>
      <c r="AC91" s="17" t="str">
        <f>IF($AG$24&gt;=Tabela1[[#This Row],[leads_gerados]]&gt;=$AG$25,"OK","Outlier")</f>
        <v>OK</v>
      </c>
      <c r="AD91" s="17" t="str">
        <f>IF($AG$31&gt;=Tabela1[[#This Row],[ltv_estimado]]&gt;=$AG$32,"OK","Outlier")</f>
        <v>OK</v>
      </c>
      <c r="AE91" s="17"/>
    </row>
    <row r="92" spans="1:31" ht="15.75" customHeight="1" x14ac:dyDescent="0.25">
      <c r="A92" s="1" t="s">
        <v>92</v>
      </c>
      <c r="B92" s="2">
        <v>45556</v>
      </c>
      <c r="C92" s="1" t="s">
        <v>31</v>
      </c>
      <c r="D92" s="1" t="s">
        <v>45</v>
      </c>
      <c r="E92" s="1" t="s">
        <v>33</v>
      </c>
      <c r="F92" s="1">
        <v>9695</v>
      </c>
      <c r="G92" s="1">
        <v>1257</v>
      </c>
      <c r="H92" s="1">
        <v>34</v>
      </c>
      <c r="I92" s="1" t="s">
        <v>55</v>
      </c>
      <c r="J92" s="1">
        <v>5</v>
      </c>
      <c r="K92" s="1" t="s">
        <v>41</v>
      </c>
      <c r="L92" s="1">
        <v>836</v>
      </c>
      <c r="M92" s="1">
        <v>278.67</v>
      </c>
      <c r="N92" s="1">
        <v>63</v>
      </c>
      <c r="O92" s="1" t="s">
        <v>42</v>
      </c>
      <c r="P92" s="1" t="s">
        <v>51</v>
      </c>
      <c r="Q92" s="1">
        <v>58</v>
      </c>
      <c r="R92" s="1" t="s">
        <v>29</v>
      </c>
      <c r="S92" s="1">
        <v>3809</v>
      </c>
      <c r="T92" s="5">
        <f>Tabela1[[#This Row],[investimento]]/Tabela1[[#This Row],[leads_gerados]]</f>
        <v>285.14705882352939</v>
      </c>
      <c r="U92" s="5">
        <f>VLOOKUP(Tabela1[[#This Row],[canal_aquisicao]],Tabela2[#All],2,0)</f>
        <v>20204</v>
      </c>
      <c r="V92" s="1" t="str">
        <f t="shared" si="8"/>
        <v>Não Qualificado</v>
      </c>
      <c r="W92" s="1" t="str">
        <f>VLOOKUP(C92,Tabela5[#All],2,0)</f>
        <v>Intenção de Compra</v>
      </c>
      <c r="X92" s="14" t="str">
        <f t="shared" si="9"/>
        <v>Médio</v>
      </c>
      <c r="Y92" s="17" t="str">
        <f t="shared" si="10"/>
        <v>Médio</v>
      </c>
      <c r="Z92" s="17" t="str">
        <f t="shared" si="11"/>
        <v>Sênior</v>
      </c>
      <c r="AA92" s="17" t="str">
        <f>IF($AG$10&gt;=Tabela1[[#This Row],[investimento]]&gt;=$AG$11,"OK","Outlier")</f>
        <v>OK</v>
      </c>
      <c r="AB92" s="17" t="str">
        <f>IF($AG$17&gt;=Tabela1[[#This Row],[visitantes]]&gt;=$AG$18,"OK","Outlier")</f>
        <v>OK</v>
      </c>
      <c r="AC92" s="17" t="str">
        <f>IF($AG$24&gt;=Tabela1[[#This Row],[leads_gerados]]&gt;=$AG$25,"OK","Outlier")</f>
        <v>OK</v>
      </c>
      <c r="AD92" s="17" t="str">
        <f>IF($AG$31&gt;=Tabela1[[#This Row],[ltv_estimado]]&gt;=$AG$32,"OK","Outlier")</f>
        <v>OK</v>
      </c>
      <c r="AE92" s="17"/>
    </row>
    <row r="93" spans="1:31" ht="15.75" customHeight="1" x14ac:dyDescent="0.25">
      <c r="A93" s="1" t="s">
        <v>94</v>
      </c>
      <c r="B93" s="2">
        <v>45746</v>
      </c>
      <c r="C93" s="1" t="s">
        <v>57</v>
      </c>
      <c r="D93" s="1" t="s">
        <v>45</v>
      </c>
      <c r="E93" s="1" t="s">
        <v>24</v>
      </c>
      <c r="F93" s="1">
        <v>8162</v>
      </c>
      <c r="G93" s="1">
        <v>2365</v>
      </c>
      <c r="H93" s="1">
        <v>19</v>
      </c>
      <c r="I93" s="1" t="s">
        <v>55</v>
      </c>
      <c r="J93" s="1">
        <v>5</v>
      </c>
      <c r="K93" s="1" t="s">
        <v>41</v>
      </c>
      <c r="L93" s="1">
        <v>756</v>
      </c>
      <c r="M93" s="1">
        <v>378</v>
      </c>
      <c r="N93">
        <v>38</v>
      </c>
      <c r="O93" s="1" t="s">
        <v>26</v>
      </c>
      <c r="P93" s="1" t="s">
        <v>46</v>
      </c>
      <c r="Q93" s="1">
        <v>100</v>
      </c>
      <c r="R93" s="1" t="s">
        <v>47</v>
      </c>
      <c r="S93" s="1">
        <v>2270</v>
      </c>
      <c r="T93" s="5">
        <f>Tabela1[[#This Row],[investimento]]/Tabela1[[#This Row],[leads_gerados]]</f>
        <v>429.57894736842104</v>
      </c>
      <c r="U93" s="5">
        <f>VLOOKUP(Tabela1[[#This Row],[canal_aquisicao]],Tabela2[#All],2,0)</f>
        <v>22207.375</v>
      </c>
      <c r="V93" s="1" t="str">
        <f t="shared" si="8"/>
        <v>Qualificado</v>
      </c>
      <c r="W93" s="1" t="str">
        <f>VLOOKUP(C93,Tabela5[#All],2,0)</f>
        <v>Intenção de Compra</v>
      </c>
      <c r="X93" s="14" t="str">
        <f t="shared" si="9"/>
        <v>Alto</v>
      </c>
      <c r="Y93" s="17" t="str">
        <f t="shared" si="10"/>
        <v>Médio</v>
      </c>
      <c r="Z93" s="17" t="str">
        <f t="shared" si="11"/>
        <v>Adulto</v>
      </c>
      <c r="AA93" s="17" t="str">
        <f>IF($AG$10&gt;=Tabela1[[#This Row],[investimento]]&gt;=$AG$11,"OK","Outlier")</f>
        <v>OK</v>
      </c>
      <c r="AB93" s="17" t="str">
        <f>IF($AG$17&gt;=Tabela1[[#This Row],[visitantes]]&gt;=$AG$18,"OK","Outlier")</f>
        <v>OK</v>
      </c>
      <c r="AC93" s="17" t="str">
        <f>IF($AG$24&gt;=Tabela1[[#This Row],[leads_gerados]]&gt;=$AG$25,"OK","Outlier")</f>
        <v>OK</v>
      </c>
      <c r="AD93" s="17" t="str">
        <f>IF($AG$31&gt;=Tabela1[[#This Row],[ltv_estimado]]&gt;=$AG$32,"OK","Outlier")</f>
        <v>OK</v>
      </c>
      <c r="AE93" s="17"/>
    </row>
    <row r="94" spans="1:31" ht="15.75" customHeight="1" x14ac:dyDescent="0.25">
      <c r="A94" s="1" t="s">
        <v>97</v>
      </c>
      <c r="B94" s="2">
        <v>45641</v>
      </c>
      <c r="C94" s="1" t="s">
        <v>31</v>
      </c>
      <c r="D94" s="1" t="s">
        <v>45</v>
      </c>
      <c r="E94" s="1" t="s">
        <v>50</v>
      </c>
      <c r="F94" s="1">
        <v>12640</v>
      </c>
      <c r="G94" s="1">
        <v>2709</v>
      </c>
      <c r="H94" s="1">
        <v>290</v>
      </c>
      <c r="I94" s="1" t="s">
        <v>34</v>
      </c>
      <c r="J94" s="1">
        <v>22</v>
      </c>
      <c r="K94" s="1" t="s">
        <v>41</v>
      </c>
      <c r="L94" s="1">
        <v>461</v>
      </c>
      <c r="M94" s="1">
        <v>230.5</v>
      </c>
      <c r="N94">
        <v>40</v>
      </c>
      <c r="O94" s="1" t="s">
        <v>42</v>
      </c>
      <c r="P94" s="1" t="s">
        <v>46</v>
      </c>
      <c r="Q94" s="1">
        <v>91</v>
      </c>
      <c r="R94" s="1" t="s">
        <v>29</v>
      </c>
      <c r="S94" s="1">
        <v>3848</v>
      </c>
      <c r="T94" s="5">
        <f>Tabela1[[#This Row],[investimento]]/Tabela1[[#This Row],[leads_gerados]]</f>
        <v>43.586206896551722</v>
      </c>
      <c r="U94" s="5">
        <f>VLOOKUP(Tabela1[[#This Row],[canal_aquisicao]],Tabela2[#All],2,0)</f>
        <v>20204</v>
      </c>
      <c r="V94" s="1" t="str">
        <f t="shared" si="8"/>
        <v>Qualificado</v>
      </c>
      <c r="W94" s="1" t="str">
        <f>VLOOKUP(C94,Tabela5[#All],2,0)</f>
        <v>Intenção de Compra</v>
      </c>
      <c r="X94" s="14" t="str">
        <f t="shared" si="9"/>
        <v>Alto</v>
      </c>
      <c r="Y94" s="17" t="str">
        <f t="shared" si="10"/>
        <v>Médio</v>
      </c>
      <c r="Z94" s="17" t="str">
        <f t="shared" si="11"/>
        <v>Adulto</v>
      </c>
      <c r="AA94" s="17" t="str">
        <f>IF($AG$10&gt;=Tabela1[[#This Row],[investimento]]&gt;=$AG$11,"OK","Outlier")</f>
        <v>OK</v>
      </c>
      <c r="AB94" s="17" t="str">
        <f>IF($AG$17&gt;=Tabela1[[#This Row],[visitantes]]&gt;=$AG$18,"OK","Outlier")</f>
        <v>OK</v>
      </c>
      <c r="AC94" s="17" t="str">
        <f>IF($AG$24&gt;=Tabela1[[#This Row],[leads_gerados]]&gt;=$AG$25,"OK","Outlier")</f>
        <v>OK</v>
      </c>
      <c r="AD94" s="17" t="str">
        <f>IF($AG$31&gt;=Tabela1[[#This Row],[ltv_estimado]]&gt;=$AG$32,"OK","Outlier")</f>
        <v>OK</v>
      </c>
      <c r="AE94" s="17"/>
    </row>
    <row r="95" spans="1:31" ht="15.75" customHeight="1" x14ac:dyDescent="0.25">
      <c r="A95" s="1" t="s">
        <v>98</v>
      </c>
      <c r="B95" s="2">
        <v>45385</v>
      </c>
      <c r="C95" s="1" t="s">
        <v>21</v>
      </c>
      <c r="D95" s="1" t="s">
        <v>45</v>
      </c>
      <c r="E95" s="1" t="s">
        <v>23</v>
      </c>
      <c r="F95" s="1">
        <v>6406</v>
      </c>
      <c r="G95" s="1">
        <v>4493</v>
      </c>
      <c r="H95" s="1">
        <v>227</v>
      </c>
      <c r="I95" s="1" t="s">
        <v>34</v>
      </c>
      <c r="J95" s="1">
        <v>5</v>
      </c>
      <c r="K95" s="1" t="s">
        <v>41</v>
      </c>
      <c r="L95" s="1">
        <v>685</v>
      </c>
      <c r="M95" s="1">
        <v>342.5</v>
      </c>
      <c r="N95" s="1">
        <v>35</v>
      </c>
      <c r="O95" s="1" t="s">
        <v>26</v>
      </c>
      <c r="P95" s="1" t="s">
        <v>35</v>
      </c>
      <c r="Q95" s="1">
        <v>5</v>
      </c>
      <c r="R95" s="1" t="s">
        <v>47</v>
      </c>
      <c r="S95" s="1">
        <v>1222</v>
      </c>
      <c r="T95" s="5">
        <f>Tabela1[[#This Row],[investimento]]/Tabela1[[#This Row],[leads_gerados]]</f>
        <v>28.220264317180618</v>
      </c>
      <c r="U95" s="5">
        <f>VLOOKUP(Tabela1[[#This Row],[canal_aquisicao]],Tabela2[#All],2,0)</f>
        <v>18122.25</v>
      </c>
      <c r="V95" s="1" t="str">
        <f t="shared" si="8"/>
        <v>Não Qualificado</v>
      </c>
      <c r="W95" s="1" t="str">
        <f>VLOOKUP(C95,Tabela5[#All],2,0)</f>
        <v>Intenção de Compra</v>
      </c>
      <c r="X95" s="14" t="str">
        <f t="shared" si="9"/>
        <v>Baixo</v>
      </c>
      <c r="Y95" s="17" t="str">
        <f t="shared" si="10"/>
        <v>Médio</v>
      </c>
      <c r="Z95" s="17" t="str">
        <f t="shared" si="11"/>
        <v>Adulto</v>
      </c>
      <c r="AA95" s="17" t="str">
        <f>IF($AG$10&gt;=Tabela1[[#This Row],[investimento]]&gt;=$AG$11,"OK","Outlier")</f>
        <v>OK</v>
      </c>
      <c r="AB95" s="17" t="str">
        <f>IF($AG$17&gt;=Tabela1[[#This Row],[visitantes]]&gt;=$AG$18,"OK","Outlier")</f>
        <v>OK</v>
      </c>
      <c r="AC95" s="17" t="str">
        <f>IF($AG$24&gt;=Tabela1[[#This Row],[leads_gerados]]&gt;=$AG$25,"OK","Outlier")</f>
        <v>OK</v>
      </c>
      <c r="AD95" s="17" t="str">
        <f>IF($AG$31&gt;=Tabela1[[#This Row],[ltv_estimado]]&gt;=$AG$32,"OK","Outlier")</f>
        <v>OK</v>
      </c>
      <c r="AE95" s="17"/>
    </row>
    <row r="96" spans="1:31" ht="15.75" customHeight="1" x14ac:dyDescent="0.25">
      <c r="A96" s="1" t="s">
        <v>105</v>
      </c>
      <c r="B96" s="2">
        <v>45405</v>
      </c>
      <c r="C96" s="1" t="s">
        <v>31</v>
      </c>
      <c r="D96" s="1" t="s">
        <v>45</v>
      </c>
      <c r="E96" s="1" t="s">
        <v>23</v>
      </c>
      <c r="F96" s="1">
        <v>5632</v>
      </c>
      <c r="G96" s="1">
        <v>2800</v>
      </c>
      <c r="H96" s="1">
        <v>230</v>
      </c>
      <c r="I96" s="1" t="s">
        <v>63</v>
      </c>
      <c r="J96" s="1">
        <v>36</v>
      </c>
      <c r="K96" s="1" t="s">
        <v>25</v>
      </c>
      <c r="L96" s="1">
        <v>0</v>
      </c>
      <c r="M96" s="1">
        <v>0</v>
      </c>
      <c r="N96" s="1">
        <v>46</v>
      </c>
      <c r="O96" s="1" t="s">
        <v>42</v>
      </c>
      <c r="P96" s="1" t="s">
        <v>51</v>
      </c>
      <c r="Q96" s="1">
        <v>80</v>
      </c>
      <c r="R96" s="1" t="s">
        <v>37</v>
      </c>
      <c r="S96" s="1">
        <v>1372</v>
      </c>
      <c r="T96" s="5">
        <f>Tabela1[[#This Row],[investimento]]/Tabela1[[#This Row],[leads_gerados]]</f>
        <v>24.486956521739131</v>
      </c>
      <c r="U96" s="5">
        <f>VLOOKUP(Tabela1[[#This Row],[canal_aquisicao]],Tabela2[#All],2,0)</f>
        <v>20204</v>
      </c>
      <c r="V96" s="1" t="str">
        <f t="shared" si="8"/>
        <v>Qualificado</v>
      </c>
      <c r="W96" s="1" t="str">
        <f>VLOOKUP(C96,Tabela5[#All],2,0)</f>
        <v>Intenção de Compra</v>
      </c>
      <c r="X96" s="14" t="str">
        <f t="shared" si="9"/>
        <v>Alto</v>
      </c>
      <c r="Y96" s="17" t="str">
        <f t="shared" si="10"/>
        <v>Sem Compra</v>
      </c>
      <c r="Z96" s="17" t="str">
        <f t="shared" si="11"/>
        <v>Sênior</v>
      </c>
      <c r="AA96" s="17" t="str">
        <f>IF($AG$10&gt;=Tabela1[[#This Row],[investimento]]&gt;=$AG$11,"OK","Outlier")</f>
        <v>OK</v>
      </c>
      <c r="AB96" s="17" t="str">
        <f>IF($AG$17&gt;=Tabela1[[#This Row],[visitantes]]&gt;=$AG$18,"OK","Outlier")</f>
        <v>OK</v>
      </c>
      <c r="AC96" s="17" t="str">
        <f>IF($AG$24&gt;=Tabela1[[#This Row],[leads_gerados]]&gt;=$AG$25,"OK","Outlier")</f>
        <v>OK</v>
      </c>
      <c r="AD96" s="17" t="str">
        <f>IF($AG$31&gt;=Tabela1[[#This Row],[ltv_estimado]]&gt;=$AG$32,"OK","Outlier")</f>
        <v>OK</v>
      </c>
      <c r="AE96" s="17"/>
    </row>
    <row r="97" spans="1:31" ht="15.75" customHeight="1" x14ac:dyDescent="0.25">
      <c r="A97" s="1" t="s">
        <v>94</v>
      </c>
      <c r="B97" s="2">
        <v>45787</v>
      </c>
      <c r="C97" s="1" t="s">
        <v>54</v>
      </c>
      <c r="D97" s="1" t="s">
        <v>45</v>
      </c>
      <c r="E97" s="1" t="s">
        <v>33</v>
      </c>
      <c r="F97" s="1">
        <v>14917</v>
      </c>
      <c r="G97" s="1">
        <v>2833</v>
      </c>
      <c r="H97" s="1">
        <v>192</v>
      </c>
      <c r="I97" s="1" t="s">
        <v>24</v>
      </c>
      <c r="J97" s="1">
        <v>34</v>
      </c>
      <c r="K97" s="1" t="s">
        <v>25</v>
      </c>
      <c r="L97" s="1">
        <v>0</v>
      </c>
      <c r="M97" s="1">
        <v>0</v>
      </c>
      <c r="N97" s="1">
        <v>60</v>
      </c>
      <c r="O97" s="1" t="s">
        <v>42</v>
      </c>
      <c r="P97" s="1" t="s">
        <v>35</v>
      </c>
      <c r="Q97" s="1">
        <v>57</v>
      </c>
      <c r="R97" s="1" t="s">
        <v>47</v>
      </c>
      <c r="S97" s="1">
        <v>3282</v>
      </c>
      <c r="T97" s="5">
        <f>Tabela1[[#This Row],[investimento]]/Tabela1[[#This Row],[leads_gerados]]</f>
        <v>77.692708333333329</v>
      </c>
      <c r="U97" s="5">
        <f>VLOOKUP(Tabela1[[#This Row],[canal_aquisicao]],Tabela2[#All],2,0)</f>
        <v>23467.142857142859</v>
      </c>
      <c r="V97" s="1" t="str">
        <f t="shared" si="8"/>
        <v>Não Qualificado</v>
      </c>
      <c r="W97" s="1" t="str">
        <f>VLOOKUP(C97,Tabela5[#All],2,0)</f>
        <v>Awareness</v>
      </c>
      <c r="X97" s="14" t="str">
        <f t="shared" si="9"/>
        <v>Médio</v>
      </c>
      <c r="Y97" s="17" t="str">
        <f t="shared" si="10"/>
        <v>Sem Compra</v>
      </c>
      <c r="Z97" s="17" t="str">
        <f t="shared" si="11"/>
        <v>Sênior</v>
      </c>
      <c r="AA97" s="17" t="str">
        <f>IF($AG$10&gt;=Tabela1[[#This Row],[investimento]]&gt;=$AG$11,"OK","Outlier")</f>
        <v>OK</v>
      </c>
      <c r="AB97" s="17" t="str">
        <f>IF($AG$17&gt;=Tabela1[[#This Row],[visitantes]]&gt;=$AG$18,"OK","Outlier")</f>
        <v>OK</v>
      </c>
      <c r="AC97" s="17" t="str">
        <f>IF($AG$24&gt;=Tabela1[[#This Row],[leads_gerados]]&gt;=$AG$25,"OK","Outlier")</f>
        <v>OK</v>
      </c>
      <c r="AD97" s="17" t="str">
        <f>IF($AG$31&gt;=Tabela1[[#This Row],[ltv_estimado]]&gt;=$AG$32,"OK","Outlier")</f>
        <v>OK</v>
      </c>
      <c r="AE97" s="17"/>
    </row>
    <row r="98" spans="1:31" ht="15.75" customHeight="1" x14ac:dyDescent="0.25">
      <c r="A98" s="1" t="s">
        <v>109</v>
      </c>
      <c r="B98" s="2">
        <v>45527</v>
      </c>
      <c r="C98" s="1" t="s">
        <v>21</v>
      </c>
      <c r="D98" s="1" t="s">
        <v>45</v>
      </c>
      <c r="E98" s="1" t="s">
        <v>33</v>
      </c>
      <c r="F98" s="1">
        <v>17699</v>
      </c>
      <c r="G98" s="1">
        <v>967</v>
      </c>
      <c r="H98" s="1">
        <v>128</v>
      </c>
      <c r="I98" s="1" t="s">
        <v>34</v>
      </c>
      <c r="J98" s="1">
        <v>35</v>
      </c>
      <c r="K98" s="1" t="s">
        <v>25</v>
      </c>
      <c r="L98" s="1">
        <v>0</v>
      </c>
      <c r="M98" s="1">
        <v>0</v>
      </c>
      <c r="N98">
        <v>38</v>
      </c>
      <c r="O98" s="1" t="s">
        <v>26</v>
      </c>
      <c r="P98" s="1" t="s">
        <v>51</v>
      </c>
      <c r="Q98" s="1">
        <v>22</v>
      </c>
      <c r="R98" s="1" t="s">
        <v>47</v>
      </c>
      <c r="S98" s="1">
        <v>4643</v>
      </c>
      <c r="T98" s="5">
        <f>Tabela1[[#This Row],[investimento]]/Tabela1[[#This Row],[leads_gerados]]</f>
        <v>138.2734375</v>
      </c>
      <c r="U98" s="5">
        <f>VLOOKUP(Tabela1[[#This Row],[canal_aquisicao]],Tabela2[#All],2,0)</f>
        <v>18122.25</v>
      </c>
      <c r="V98" s="1" t="str">
        <f t="shared" ref="V98:V129" si="12">IF(Q98&gt;=70,"Qualificado","Não Qualificado")</f>
        <v>Não Qualificado</v>
      </c>
      <c r="W98" s="1" t="str">
        <f>VLOOKUP(C98,Tabela5[#All],2,0)</f>
        <v>Intenção de Compra</v>
      </c>
      <c r="X98" s="14" t="str">
        <f t="shared" ref="X98:X129" si="13">IF(Q98&gt;=70, "Alto", IF(Q98&gt;=40, "Médio", "Baixo"))</f>
        <v>Baixo</v>
      </c>
      <c r="Y98" s="17" t="str">
        <f t="shared" ref="Y98:Y129" si="14">IF(M98=0, "Sem Compra", IF(M98&gt;=400, "Alto", IF(M98&gt;=150, "Médio", "Baixo")))</f>
        <v>Sem Compra</v>
      </c>
      <c r="Z98" s="17" t="str">
        <f t="shared" ref="Z98:Z129" si="15">IF(N98&gt;=18,IF(N98&lt;=25,"Jovem",IF(N98&lt;=40,"Adulto","Sênior")),"")</f>
        <v>Adulto</v>
      </c>
      <c r="AA98" s="17" t="str">
        <f>IF($AG$10&gt;=Tabela1[[#This Row],[investimento]]&gt;=$AG$11,"OK","Outlier")</f>
        <v>OK</v>
      </c>
      <c r="AB98" s="17" t="str">
        <f>IF($AG$17&gt;=Tabela1[[#This Row],[visitantes]]&gt;=$AG$18,"OK","Outlier")</f>
        <v>OK</v>
      </c>
      <c r="AC98" s="17" t="str">
        <f>IF($AG$24&gt;=Tabela1[[#This Row],[leads_gerados]]&gt;=$AG$25,"OK","Outlier")</f>
        <v>OK</v>
      </c>
      <c r="AD98" s="17" t="str">
        <f>IF($AG$31&gt;=Tabela1[[#This Row],[ltv_estimado]]&gt;=$AG$32,"OK","Outlier")</f>
        <v>OK</v>
      </c>
      <c r="AE98" s="17"/>
    </row>
    <row r="99" spans="1:31" ht="15.75" customHeight="1" x14ac:dyDescent="0.25">
      <c r="A99" s="1" t="s">
        <v>113</v>
      </c>
      <c r="B99" s="2">
        <v>45477</v>
      </c>
      <c r="C99" s="1" t="s">
        <v>57</v>
      </c>
      <c r="D99" s="1" t="s">
        <v>45</v>
      </c>
      <c r="E99" s="1" t="s">
        <v>23</v>
      </c>
      <c r="F99" s="1">
        <v>18430</v>
      </c>
      <c r="G99" s="1">
        <v>1106</v>
      </c>
      <c r="H99" s="1">
        <v>116</v>
      </c>
      <c r="I99" s="1" t="s">
        <v>58</v>
      </c>
      <c r="J99" s="1">
        <v>5</v>
      </c>
      <c r="K99" s="1" t="s">
        <v>41</v>
      </c>
      <c r="L99" s="1">
        <v>457</v>
      </c>
      <c r="M99" s="1">
        <v>152.33000000000001</v>
      </c>
      <c r="N99">
        <v>38</v>
      </c>
      <c r="O99" s="1" t="s">
        <v>26</v>
      </c>
      <c r="P99" s="1" t="s">
        <v>59</v>
      </c>
      <c r="Q99" s="1">
        <v>70</v>
      </c>
      <c r="R99" s="1" t="s">
        <v>37</v>
      </c>
      <c r="S99" s="1">
        <v>4912</v>
      </c>
      <c r="T99" s="5">
        <f>Tabela1[[#This Row],[investimento]]/Tabela1[[#This Row],[leads_gerados]]</f>
        <v>158.87931034482759</v>
      </c>
      <c r="U99" s="5">
        <f>VLOOKUP(Tabela1[[#This Row],[canal_aquisicao]],Tabela2[#All],2,0)</f>
        <v>22207.375</v>
      </c>
      <c r="V99" s="1" t="str">
        <f t="shared" si="12"/>
        <v>Qualificado</v>
      </c>
      <c r="W99" s="1" t="str">
        <f>VLOOKUP(C99,Tabela5[#All],2,0)</f>
        <v>Intenção de Compra</v>
      </c>
      <c r="X99" s="14" t="str">
        <f t="shared" si="13"/>
        <v>Alto</v>
      </c>
      <c r="Y99" s="17" t="str">
        <f t="shared" si="14"/>
        <v>Médio</v>
      </c>
      <c r="Z99" s="17" t="str">
        <f t="shared" si="15"/>
        <v>Adulto</v>
      </c>
      <c r="AA99" s="17" t="str">
        <f>IF($AG$10&gt;=Tabela1[[#This Row],[investimento]]&gt;=$AG$11,"OK","Outlier")</f>
        <v>OK</v>
      </c>
      <c r="AB99" s="17" t="str">
        <f>IF($AG$17&gt;=Tabela1[[#This Row],[visitantes]]&gt;=$AG$18,"OK","Outlier")</f>
        <v>OK</v>
      </c>
      <c r="AC99" s="17" t="str">
        <f>IF($AG$24&gt;=Tabela1[[#This Row],[leads_gerados]]&gt;=$AG$25,"OK","Outlier")</f>
        <v>OK</v>
      </c>
      <c r="AD99" s="17" t="str">
        <f>IF($AG$31&gt;=Tabela1[[#This Row],[ltv_estimado]]&gt;=$AG$32,"OK","Outlier")</f>
        <v>OK</v>
      </c>
      <c r="AE99" s="17"/>
    </row>
    <row r="100" spans="1:31" ht="15.75" customHeight="1" x14ac:dyDescent="0.25">
      <c r="A100" s="1" t="s">
        <v>115</v>
      </c>
      <c r="B100" s="2">
        <v>45469</v>
      </c>
      <c r="C100" s="1" t="s">
        <v>57</v>
      </c>
      <c r="D100" s="1" t="s">
        <v>45</v>
      </c>
      <c r="E100" s="1" t="s">
        <v>24</v>
      </c>
      <c r="F100" s="1">
        <v>6827</v>
      </c>
      <c r="G100" s="1">
        <v>2626</v>
      </c>
      <c r="H100" s="1">
        <v>144</v>
      </c>
      <c r="I100" s="1" t="s">
        <v>24</v>
      </c>
      <c r="J100" s="1">
        <v>15</v>
      </c>
      <c r="K100" s="1" t="s">
        <v>25</v>
      </c>
      <c r="L100" s="1">
        <v>0</v>
      </c>
      <c r="M100" s="1">
        <v>0</v>
      </c>
      <c r="N100">
        <v>40</v>
      </c>
      <c r="O100" s="1" t="s">
        <v>42</v>
      </c>
      <c r="P100" s="1" t="s">
        <v>51</v>
      </c>
      <c r="Q100" s="1">
        <v>2</v>
      </c>
      <c r="R100" s="1" t="s">
        <v>37</v>
      </c>
      <c r="S100" s="1">
        <v>3504</v>
      </c>
      <c r="T100" s="5">
        <f>Tabela1[[#This Row],[investimento]]/Tabela1[[#This Row],[leads_gerados]]</f>
        <v>47.409722222222221</v>
      </c>
      <c r="U100" s="5">
        <f>VLOOKUP(Tabela1[[#This Row],[canal_aquisicao]],Tabela2[#All],2,0)</f>
        <v>22207.375</v>
      </c>
      <c r="V100" s="1" t="str">
        <f t="shared" si="12"/>
        <v>Não Qualificado</v>
      </c>
      <c r="W100" s="1" t="str">
        <f>VLOOKUP(C100,Tabela5[#All],2,0)</f>
        <v>Intenção de Compra</v>
      </c>
      <c r="X100" s="14" t="str">
        <f t="shared" si="13"/>
        <v>Baixo</v>
      </c>
      <c r="Y100" s="17" t="str">
        <f t="shared" si="14"/>
        <v>Sem Compra</v>
      </c>
      <c r="Z100" s="17" t="str">
        <f t="shared" si="15"/>
        <v>Adulto</v>
      </c>
      <c r="AA100" s="17" t="str">
        <f>IF($AG$10&gt;=Tabela1[[#This Row],[investimento]]&gt;=$AG$11,"OK","Outlier")</f>
        <v>OK</v>
      </c>
      <c r="AB100" s="17" t="str">
        <f>IF($AG$17&gt;=Tabela1[[#This Row],[visitantes]]&gt;=$AG$18,"OK","Outlier")</f>
        <v>OK</v>
      </c>
      <c r="AC100" s="17" t="str">
        <f>IF($AG$24&gt;=Tabela1[[#This Row],[leads_gerados]]&gt;=$AG$25,"OK","Outlier")</f>
        <v>OK</v>
      </c>
      <c r="AD100" s="17" t="str">
        <f>IF($AG$31&gt;=Tabela1[[#This Row],[ltv_estimado]]&gt;=$AG$32,"OK","Outlier")</f>
        <v>OK</v>
      </c>
      <c r="AE100" s="17"/>
    </row>
    <row r="101" spans="1:31" ht="15.75" customHeight="1" x14ac:dyDescent="0.25">
      <c r="A101" s="1" t="s">
        <v>117</v>
      </c>
      <c r="B101" s="2">
        <v>45707</v>
      </c>
      <c r="C101" s="1" t="s">
        <v>31</v>
      </c>
      <c r="D101" s="1" t="s">
        <v>45</v>
      </c>
      <c r="E101" s="1" t="s">
        <v>23</v>
      </c>
      <c r="F101" s="1">
        <v>4411</v>
      </c>
      <c r="G101" s="1">
        <v>3456</v>
      </c>
      <c r="H101" s="1">
        <v>8</v>
      </c>
      <c r="I101" s="1" t="s">
        <v>63</v>
      </c>
      <c r="J101" s="1">
        <v>38</v>
      </c>
      <c r="K101" s="1" t="s">
        <v>25</v>
      </c>
      <c r="L101" s="1">
        <v>0</v>
      </c>
      <c r="M101" s="1">
        <v>0</v>
      </c>
      <c r="N101">
        <v>38</v>
      </c>
      <c r="O101" s="1" t="s">
        <v>26</v>
      </c>
      <c r="P101" s="1" t="s">
        <v>46</v>
      </c>
      <c r="Q101" s="1">
        <v>34</v>
      </c>
      <c r="R101" s="1" t="s">
        <v>47</v>
      </c>
      <c r="S101" s="1">
        <v>2510</v>
      </c>
      <c r="T101" s="5">
        <f>Tabela1[[#This Row],[investimento]]/Tabela1[[#This Row],[leads_gerados]]</f>
        <v>551.375</v>
      </c>
      <c r="U101" s="5">
        <f>VLOOKUP(Tabela1[[#This Row],[canal_aquisicao]],Tabela2[#All],2,0)</f>
        <v>20204</v>
      </c>
      <c r="V101" s="1" t="str">
        <f t="shared" si="12"/>
        <v>Não Qualificado</v>
      </c>
      <c r="W101" s="1" t="str">
        <f>VLOOKUP(C101,Tabela5[#All],2,0)</f>
        <v>Intenção de Compra</v>
      </c>
      <c r="X101" s="14" t="str">
        <f t="shared" si="13"/>
        <v>Baixo</v>
      </c>
      <c r="Y101" s="17" t="str">
        <f t="shared" si="14"/>
        <v>Sem Compra</v>
      </c>
      <c r="Z101" s="17" t="str">
        <f t="shared" si="15"/>
        <v>Adulto</v>
      </c>
      <c r="AA101" s="17" t="str">
        <f>IF($AG$10&gt;=Tabela1[[#This Row],[investimento]]&gt;=$AG$11,"OK","Outlier")</f>
        <v>OK</v>
      </c>
      <c r="AB101" s="17" t="str">
        <f>IF($AG$17&gt;=Tabela1[[#This Row],[visitantes]]&gt;=$AG$18,"OK","Outlier")</f>
        <v>OK</v>
      </c>
      <c r="AC101" s="17" t="str">
        <f>IF($AG$24&gt;=Tabela1[[#This Row],[leads_gerados]]&gt;=$AG$25,"OK","Outlier")</f>
        <v>OK</v>
      </c>
      <c r="AD101" s="17" t="str">
        <f>IF($AG$31&gt;=Tabela1[[#This Row],[ltv_estimado]]&gt;=$AG$32,"OK","Outlier")</f>
        <v>OK</v>
      </c>
      <c r="AE101" s="17"/>
    </row>
    <row r="102" spans="1:31" ht="15.75" customHeight="1" x14ac:dyDescent="0.25">
      <c r="A102" s="1" t="s">
        <v>82</v>
      </c>
      <c r="B102" s="2">
        <v>45560</v>
      </c>
      <c r="C102" s="1" t="s">
        <v>54</v>
      </c>
      <c r="D102" s="1" t="s">
        <v>45</v>
      </c>
      <c r="E102" s="1" t="s">
        <v>24</v>
      </c>
      <c r="F102" s="1">
        <v>13268</v>
      </c>
      <c r="G102" s="1">
        <v>4742</v>
      </c>
      <c r="H102" s="1">
        <v>249</v>
      </c>
      <c r="I102" s="1" t="s">
        <v>55</v>
      </c>
      <c r="J102" s="1">
        <v>22</v>
      </c>
      <c r="K102" s="1" t="s">
        <v>25</v>
      </c>
      <c r="L102" s="1">
        <v>0</v>
      </c>
      <c r="M102" s="1">
        <v>0</v>
      </c>
      <c r="N102" s="1">
        <v>18</v>
      </c>
      <c r="O102" s="1" t="s">
        <v>26</v>
      </c>
      <c r="P102" s="1" t="s">
        <v>51</v>
      </c>
      <c r="Q102" s="1">
        <v>16</v>
      </c>
      <c r="R102" s="1" t="s">
        <v>47</v>
      </c>
      <c r="S102" s="1">
        <v>4299</v>
      </c>
      <c r="T102" s="5">
        <f>Tabela1[[#This Row],[investimento]]/Tabela1[[#This Row],[leads_gerados]]</f>
        <v>53.285140562248998</v>
      </c>
      <c r="U102" s="5">
        <f>VLOOKUP(Tabela1[[#This Row],[canal_aquisicao]],Tabela2[#All],2,0)</f>
        <v>23467.142857142859</v>
      </c>
      <c r="V102" s="1" t="str">
        <f t="shared" si="12"/>
        <v>Não Qualificado</v>
      </c>
      <c r="W102" s="1" t="str">
        <f>VLOOKUP(C102,Tabela5[#All],2,0)</f>
        <v>Awareness</v>
      </c>
      <c r="X102" s="14" t="str">
        <f t="shared" si="13"/>
        <v>Baixo</v>
      </c>
      <c r="Y102" s="17" t="str">
        <f t="shared" si="14"/>
        <v>Sem Compra</v>
      </c>
      <c r="Z102" s="17" t="str">
        <f t="shared" si="15"/>
        <v>Jovem</v>
      </c>
      <c r="AA102" s="17" t="str">
        <f>IF($AG$10&gt;=Tabela1[[#This Row],[investimento]]&gt;=$AG$11,"OK","Outlier")</f>
        <v>OK</v>
      </c>
      <c r="AB102" s="17" t="str">
        <f>IF($AG$17&gt;=Tabela1[[#This Row],[visitantes]]&gt;=$AG$18,"OK","Outlier")</f>
        <v>OK</v>
      </c>
      <c r="AC102" s="17" t="str">
        <f>IF($AG$24&gt;=Tabela1[[#This Row],[leads_gerados]]&gt;=$AG$25,"OK","Outlier")</f>
        <v>OK</v>
      </c>
      <c r="AD102" s="17" t="str">
        <f>IF($AG$31&gt;=Tabela1[[#This Row],[ltv_estimado]]&gt;=$AG$32,"OK","Outlier")</f>
        <v>OK</v>
      </c>
      <c r="AE102" s="17"/>
    </row>
    <row r="103" spans="1:31" ht="15.75" customHeight="1" x14ac:dyDescent="0.25">
      <c r="A103" s="1" t="s">
        <v>118</v>
      </c>
      <c r="B103" s="2">
        <v>45738</v>
      </c>
      <c r="C103" s="1" t="s">
        <v>57</v>
      </c>
      <c r="D103" s="1" t="s">
        <v>45</v>
      </c>
      <c r="E103" s="1" t="s">
        <v>24</v>
      </c>
      <c r="F103" s="1">
        <v>4701</v>
      </c>
      <c r="G103" s="1">
        <v>974</v>
      </c>
      <c r="H103" s="1">
        <v>46</v>
      </c>
      <c r="I103" s="1" t="s">
        <v>63</v>
      </c>
      <c r="J103" s="1">
        <v>1</v>
      </c>
      <c r="K103" s="1" t="s">
        <v>25</v>
      </c>
      <c r="L103" s="1">
        <v>0</v>
      </c>
      <c r="M103" s="1">
        <v>0</v>
      </c>
      <c r="N103">
        <v>40</v>
      </c>
      <c r="O103" s="1" t="s">
        <v>42</v>
      </c>
      <c r="P103" s="1" t="s">
        <v>46</v>
      </c>
      <c r="Q103" s="1">
        <v>75</v>
      </c>
      <c r="R103" s="1" t="s">
        <v>37</v>
      </c>
      <c r="S103" s="1">
        <v>4719</v>
      </c>
      <c r="T103" s="5">
        <f>Tabela1[[#This Row],[investimento]]/Tabela1[[#This Row],[leads_gerados]]</f>
        <v>102.19565217391305</v>
      </c>
      <c r="U103" s="5">
        <f>VLOOKUP(Tabela1[[#This Row],[canal_aquisicao]],Tabela2[#All],2,0)</f>
        <v>22207.375</v>
      </c>
      <c r="V103" s="1" t="str">
        <f t="shared" si="12"/>
        <v>Qualificado</v>
      </c>
      <c r="W103" s="1" t="str">
        <f>VLOOKUP(C103,Tabela5[#All],2,0)</f>
        <v>Intenção de Compra</v>
      </c>
      <c r="X103" s="14" t="str">
        <f t="shared" si="13"/>
        <v>Alto</v>
      </c>
      <c r="Y103" s="17" t="str">
        <f t="shared" si="14"/>
        <v>Sem Compra</v>
      </c>
      <c r="Z103" s="17" t="str">
        <f t="shared" si="15"/>
        <v>Adulto</v>
      </c>
      <c r="AA103" s="17" t="str">
        <f>IF($AG$10&gt;=Tabela1[[#This Row],[investimento]]&gt;=$AG$11,"OK","Outlier")</f>
        <v>OK</v>
      </c>
      <c r="AB103" s="17" t="str">
        <f>IF($AG$17&gt;=Tabela1[[#This Row],[visitantes]]&gt;=$AG$18,"OK","Outlier")</f>
        <v>OK</v>
      </c>
      <c r="AC103" s="17" t="str">
        <f>IF($AG$24&gt;=Tabela1[[#This Row],[leads_gerados]]&gt;=$AG$25,"OK","Outlier")</f>
        <v>OK</v>
      </c>
      <c r="AD103" s="17" t="str">
        <f>IF($AG$31&gt;=Tabela1[[#This Row],[ltv_estimado]]&gt;=$AG$32,"OK","Outlier")</f>
        <v>OK</v>
      </c>
      <c r="AE103" s="17"/>
    </row>
    <row r="104" spans="1:31" ht="15.75" customHeight="1" x14ac:dyDescent="0.25">
      <c r="A104" s="1" t="s">
        <v>107</v>
      </c>
      <c r="B104" s="2">
        <v>45621</v>
      </c>
      <c r="C104" s="1" t="s">
        <v>57</v>
      </c>
      <c r="D104" s="1" t="s">
        <v>45</v>
      </c>
      <c r="E104" s="1" t="s">
        <v>50</v>
      </c>
      <c r="F104" s="1">
        <v>11903</v>
      </c>
      <c r="G104" s="1">
        <v>1780</v>
      </c>
      <c r="H104" s="1">
        <v>115</v>
      </c>
      <c r="I104" s="1" t="s">
        <v>63</v>
      </c>
      <c r="J104" s="1">
        <v>20</v>
      </c>
      <c r="K104" s="1" t="s">
        <v>25</v>
      </c>
      <c r="L104" s="1">
        <v>0</v>
      </c>
      <c r="M104" s="1">
        <v>0</v>
      </c>
      <c r="N104">
        <v>38</v>
      </c>
      <c r="O104" s="1" t="s">
        <v>26</v>
      </c>
      <c r="P104" s="1" t="s">
        <v>35</v>
      </c>
      <c r="Q104" s="1">
        <v>10</v>
      </c>
      <c r="R104" s="1" t="s">
        <v>29</v>
      </c>
      <c r="S104" s="1">
        <v>2893</v>
      </c>
      <c r="T104" s="5">
        <f>Tabela1[[#This Row],[investimento]]/Tabela1[[#This Row],[leads_gerados]]</f>
        <v>103.50434782608696</v>
      </c>
      <c r="U104" s="5">
        <f>VLOOKUP(Tabela1[[#This Row],[canal_aquisicao]],Tabela2[#All],2,0)</f>
        <v>22207.375</v>
      </c>
      <c r="V104" s="1" t="str">
        <f t="shared" si="12"/>
        <v>Não Qualificado</v>
      </c>
      <c r="W104" s="1" t="str">
        <f>VLOOKUP(C104,Tabela5[#All],2,0)</f>
        <v>Intenção de Compra</v>
      </c>
      <c r="X104" s="14" t="str">
        <f t="shared" si="13"/>
        <v>Baixo</v>
      </c>
      <c r="Y104" s="17" t="str">
        <f t="shared" si="14"/>
        <v>Sem Compra</v>
      </c>
      <c r="Z104" s="17" t="str">
        <f t="shared" si="15"/>
        <v>Adulto</v>
      </c>
      <c r="AA104" s="17" t="str">
        <f>IF($AG$10&gt;=Tabela1[[#This Row],[investimento]]&gt;=$AG$11,"OK","Outlier")</f>
        <v>OK</v>
      </c>
      <c r="AB104" s="17" t="str">
        <f>IF($AG$17&gt;=Tabela1[[#This Row],[visitantes]]&gt;=$AG$18,"OK","Outlier")</f>
        <v>OK</v>
      </c>
      <c r="AC104" s="17" t="str">
        <f>IF($AG$24&gt;=Tabela1[[#This Row],[leads_gerados]]&gt;=$AG$25,"OK","Outlier")</f>
        <v>OK</v>
      </c>
      <c r="AD104" s="17" t="str">
        <f>IF($AG$31&gt;=Tabela1[[#This Row],[ltv_estimado]]&gt;=$AG$32,"OK","Outlier")</f>
        <v>OK</v>
      </c>
      <c r="AE104" s="17"/>
    </row>
    <row r="105" spans="1:31" ht="15.75" customHeight="1" x14ac:dyDescent="0.25">
      <c r="A105" s="1" t="s">
        <v>65</v>
      </c>
      <c r="B105" s="2">
        <v>45353</v>
      </c>
      <c r="C105" s="1" t="s">
        <v>31</v>
      </c>
      <c r="D105" s="1" t="s">
        <v>45</v>
      </c>
      <c r="E105" s="1" t="s">
        <v>24</v>
      </c>
      <c r="F105" s="1">
        <v>18174</v>
      </c>
      <c r="G105" s="1">
        <v>3257</v>
      </c>
      <c r="H105" s="1">
        <v>4</v>
      </c>
      <c r="I105" s="1" t="s">
        <v>63</v>
      </c>
      <c r="J105" s="1">
        <v>2</v>
      </c>
      <c r="K105" s="1" t="s">
        <v>25</v>
      </c>
      <c r="L105" s="1">
        <v>0</v>
      </c>
      <c r="M105" s="1">
        <v>0</v>
      </c>
      <c r="N105" s="1">
        <v>28</v>
      </c>
      <c r="O105" s="1" t="s">
        <v>26</v>
      </c>
      <c r="P105" s="1" t="s">
        <v>51</v>
      </c>
      <c r="Q105" s="1">
        <v>9</v>
      </c>
      <c r="R105" s="1" t="s">
        <v>37</v>
      </c>
      <c r="S105" s="1">
        <v>368</v>
      </c>
      <c r="T105" s="5">
        <f>Tabela1[[#This Row],[investimento]]/Tabela1[[#This Row],[leads_gerados]]</f>
        <v>4543.5</v>
      </c>
      <c r="U105" s="5">
        <f>VLOOKUP(Tabela1[[#This Row],[canal_aquisicao]],Tabela2[#All],2,0)</f>
        <v>20204</v>
      </c>
      <c r="V105" s="1" t="str">
        <f t="shared" si="12"/>
        <v>Não Qualificado</v>
      </c>
      <c r="W105" s="1" t="str">
        <f>VLOOKUP(C105,Tabela5[#All],2,0)</f>
        <v>Intenção de Compra</v>
      </c>
      <c r="X105" s="14" t="str">
        <f t="shared" si="13"/>
        <v>Baixo</v>
      </c>
      <c r="Y105" s="17" t="str">
        <f t="shared" si="14"/>
        <v>Sem Compra</v>
      </c>
      <c r="Z105" s="17" t="str">
        <f t="shared" si="15"/>
        <v>Adulto</v>
      </c>
      <c r="AA105" s="17" t="str">
        <f>IF($AG$10&gt;=Tabela1[[#This Row],[investimento]]&gt;=$AG$11,"OK","Outlier")</f>
        <v>OK</v>
      </c>
      <c r="AB105" s="17" t="str">
        <f>IF($AG$17&gt;=Tabela1[[#This Row],[visitantes]]&gt;=$AG$18,"OK","Outlier")</f>
        <v>OK</v>
      </c>
      <c r="AC105" s="17" t="str">
        <f>IF($AG$24&gt;=Tabela1[[#This Row],[leads_gerados]]&gt;=$AG$25,"OK","Outlier")</f>
        <v>OK</v>
      </c>
      <c r="AD105" s="17" t="str">
        <f>IF($AG$31&gt;=Tabela1[[#This Row],[ltv_estimado]]&gt;=$AG$32,"OK","Outlier")</f>
        <v>OK</v>
      </c>
      <c r="AE105" s="17"/>
    </row>
    <row r="106" spans="1:31" ht="15.75" customHeight="1" x14ac:dyDescent="0.25">
      <c r="A106" s="1" t="s">
        <v>121</v>
      </c>
      <c r="B106" s="2">
        <v>45750</v>
      </c>
      <c r="C106" s="1" t="s">
        <v>54</v>
      </c>
      <c r="D106" s="1" t="s">
        <v>45</v>
      </c>
      <c r="E106" s="1" t="s">
        <v>33</v>
      </c>
      <c r="F106" s="1">
        <v>7865</v>
      </c>
      <c r="G106" s="1">
        <v>2048</v>
      </c>
      <c r="H106" s="1">
        <v>263</v>
      </c>
      <c r="I106" s="1" t="s">
        <v>55</v>
      </c>
      <c r="J106" s="1">
        <v>17</v>
      </c>
      <c r="K106" s="1" t="s">
        <v>41</v>
      </c>
      <c r="L106" s="1">
        <v>398</v>
      </c>
      <c r="M106" s="1">
        <v>199</v>
      </c>
      <c r="N106">
        <v>38</v>
      </c>
      <c r="O106" s="1" t="s">
        <v>26</v>
      </c>
      <c r="P106" s="1" t="s">
        <v>46</v>
      </c>
      <c r="Q106" s="1">
        <v>52</v>
      </c>
      <c r="R106" s="1" t="s">
        <v>37</v>
      </c>
      <c r="S106" s="1">
        <v>5894</v>
      </c>
      <c r="T106" s="5">
        <f>Tabela1[[#This Row],[investimento]]/Tabela1[[#This Row],[leads_gerados]]</f>
        <v>29.904942965779469</v>
      </c>
      <c r="U106" s="5">
        <f>VLOOKUP(Tabela1[[#This Row],[canal_aquisicao]],Tabela2[#All],2,0)</f>
        <v>23467.142857142859</v>
      </c>
      <c r="V106" s="1" t="str">
        <f t="shared" si="12"/>
        <v>Não Qualificado</v>
      </c>
      <c r="W106" s="1" t="str">
        <f>VLOOKUP(C106,Tabela5[#All],2,0)</f>
        <v>Awareness</v>
      </c>
      <c r="X106" s="14" t="str">
        <f t="shared" si="13"/>
        <v>Médio</v>
      </c>
      <c r="Y106" s="17" t="str">
        <f t="shared" si="14"/>
        <v>Médio</v>
      </c>
      <c r="Z106" s="17" t="str">
        <f t="shared" si="15"/>
        <v>Adulto</v>
      </c>
      <c r="AA106" s="17" t="str">
        <f>IF($AG$10&gt;=Tabela1[[#This Row],[investimento]]&gt;=$AG$11,"OK","Outlier")</f>
        <v>OK</v>
      </c>
      <c r="AB106" s="17" t="str">
        <f>IF($AG$17&gt;=Tabela1[[#This Row],[visitantes]]&gt;=$AG$18,"OK","Outlier")</f>
        <v>OK</v>
      </c>
      <c r="AC106" s="17" t="str">
        <f>IF($AG$24&gt;=Tabela1[[#This Row],[leads_gerados]]&gt;=$AG$25,"OK","Outlier")</f>
        <v>OK</v>
      </c>
      <c r="AD106" s="17" t="str">
        <f>IF($AG$31&gt;=Tabela1[[#This Row],[ltv_estimado]]&gt;=$AG$32,"OK","Outlier")</f>
        <v>OK</v>
      </c>
      <c r="AE106" s="17"/>
    </row>
    <row r="107" spans="1:31" ht="15.75" customHeight="1" x14ac:dyDescent="0.25">
      <c r="A107" s="1" t="s">
        <v>122</v>
      </c>
      <c r="B107" s="2">
        <v>45593</v>
      </c>
      <c r="C107" s="1" t="s">
        <v>21</v>
      </c>
      <c r="D107" s="1" t="s">
        <v>45</v>
      </c>
      <c r="E107" s="1" t="s">
        <v>50</v>
      </c>
      <c r="F107" s="1">
        <v>8955</v>
      </c>
      <c r="G107" s="1">
        <v>329</v>
      </c>
      <c r="H107" s="1">
        <v>11</v>
      </c>
      <c r="I107" s="1" t="s">
        <v>58</v>
      </c>
      <c r="J107" s="1">
        <v>27</v>
      </c>
      <c r="K107" s="1" t="s">
        <v>25</v>
      </c>
      <c r="L107" s="1">
        <v>0</v>
      </c>
      <c r="M107" s="1">
        <v>0</v>
      </c>
      <c r="N107" s="1">
        <v>31</v>
      </c>
      <c r="O107" s="1" t="s">
        <v>26</v>
      </c>
      <c r="P107" s="1" t="s">
        <v>46</v>
      </c>
      <c r="Q107" s="1">
        <v>72</v>
      </c>
      <c r="R107" s="1" t="s">
        <v>29</v>
      </c>
      <c r="S107" s="1">
        <v>606</v>
      </c>
      <c r="T107" s="5">
        <f>Tabela1[[#This Row],[investimento]]/Tabela1[[#This Row],[leads_gerados]]</f>
        <v>814.09090909090912</v>
      </c>
      <c r="U107" s="5">
        <f>VLOOKUP(Tabela1[[#This Row],[canal_aquisicao]],Tabela2[#All],2,0)</f>
        <v>18122.25</v>
      </c>
      <c r="V107" s="1" t="str">
        <f t="shared" si="12"/>
        <v>Qualificado</v>
      </c>
      <c r="W107" s="1" t="str">
        <f>VLOOKUP(C107,Tabela5[#All],2,0)</f>
        <v>Intenção de Compra</v>
      </c>
      <c r="X107" s="14" t="str">
        <f t="shared" si="13"/>
        <v>Alto</v>
      </c>
      <c r="Y107" s="17" t="str">
        <f t="shared" si="14"/>
        <v>Sem Compra</v>
      </c>
      <c r="Z107" s="17" t="str">
        <f t="shared" si="15"/>
        <v>Adulto</v>
      </c>
      <c r="AA107" s="17" t="str">
        <f>IF($AG$10&gt;=Tabela1[[#This Row],[investimento]]&gt;=$AG$11,"OK","Outlier")</f>
        <v>OK</v>
      </c>
      <c r="AB107" s="17" t="str">
        <f>IF($AG$17&gt;=Tabela1[[#This Row],[visitantes]]&gt;=$AG$18,"OK","Outlier")</f>
        <v>OK</v>
      </c>
      <c r="AC107" s="17" t="str">
        <f>IF($AG$24&gt;=Tabela1[[#This Row],[leads_gerados]]&gt;=$AG$25,"OK","Outlier")</f>
        <v>OK</v>
      </c>
      <c r="AD107" s="17" t="str">
        <f>IF($AG$31&gt;=Tabela1[[#This Row],[ltv_estimado]]&gt;=$AG$32,"OK","Outlier")</f>
        <v>OK</v>
      </c>
      <c r="AE107" s="17"/>
    </row>
    <row r="108" spans="1:31" ht="15.75" customHeight="1" x14ac:dyDescent="0.25">
      <c r="A108" s="1" t="s">
        <v>123</v>
      </c>
      <c r="B108" s="2">
        <v>45771</v>
      </c>
      <c r="C108" s="1" t="s">
        <v>21</v>
      </c>
      <c r="D108" s="1" t="s">
        <v>45</v>
      </c>
      <c r="E108" s="1" t="s">
        <v>24</v>
      </c>
      <c r="F108" s="1">
        <v>19173</v>
      </c>
      <c r="G108" s="1">
        <v>4712</v>
      </c>
      <c r="H108" s="1">
        <v>189</v>
      </c>
      <c r="I108" s="1" t="s">
        <v>40</v>
      </c>
      <c r="J108" s="1">
        <v>31</v>
      </c>
      <c r="K108" s="1" t="s">
        <v>41</v>
      </c>
      <c r="L108" s="1">
        <v>554</v>
      </c>
      <c r="M108" s="1">
        <v>184.67</v>
      </c>
      <c r="N108">
        <v>38</v>
      </c>
      <c r="O108" s="1" t="s">
        <v>26</v>
      </c>
      <c r="P108" s="1" t="s">
        <v>46</v>
      </c>
      <c r="Q108" s="1">
        <v>56</v>
      </c>
      <c r="R108" s="1" t="s">
        <v>47</v>
      </c>
      <c r="S108" s="1">
        <v>4642</v>
      </c>
      <c r="T108" s="5">
        <f>Tabela1[[#This Row],[investimento]]/Tabela1[[#This Row],[leads_gerados]]</f>
        <v>101.44444444444444</v>
      </c>
      <c r="U108" s="5">
        <f>VLOOKUP(Tabela1[[#This Row],[canal_aquisicao]],Tabela2[#All],2,0)</f>
        <v>18122.25</v>
      </c>
      <c r="V108" s="1" t="str">
        <f t="shared" si="12"/>
        <v>Não Qualificado</v>
      </c>
      <c r="W108" s="1" t="str">
        <f>VLOOKUP(C108,Tabela5[#All],2,0)</f>
        <v>Intenção de Compra</v>
      </c>
      <c r="X108" s="14" t="str">
        <f t="shared" si="13"/>
        <v>Médio</v>
      </c>
      <c r="Y108" s="17" t="str">
        <f t="shared" si="14"/>
        <v>Médio</v>
      </c>
      <c r="Z108" s="17" t="str">
        <f t="shared" si="15"/>
        <v>Adulto</v>
      </c>
      <c r="AA108" s="17" t="str">
        <f>IF($AG$10&gt;=Tabela1[[#This Row],[investimento]]&gt;=$AG$11,"OK","Outlier")</f>
        <v>OK</v>
      </c>
      <c r="AB108" s="17" t="str">
        <f>IF($AG$17&gt;=Tabela1[[#This Row],[visitantes]]&gt;=$AG$18,"OK","Outlier")</f>
        <v>OK</v>
      </c>
      <c r="AC108" s="17" t="str">
        <f>IF($AG$24&gt;=Tabela1[[#This Row],[leads_gerados]]&gt;=$AG$25,"OK","Outlier")</f>
        <v>OK</v>
      </c>
      <c r="AD108" s="17" t="str">
        <f>IF($AG$31&gt;=Tabela1[[#This Row],[ltv_estimado]]&gt;=$AG$32,"OK","Outlier")</f>
        <v>OK</v>
      </c>
      <c r="AE108" s="17"/>
    </row>
    <row r="109" spans="1:31" ht="15.75" customHeight="1" x14ac:dyDescent="0.25">
      <c r="A109" s="1" t="s">
        <v>130</v>
      </c>
      <c r="B109" s="2">
        <v>45426</v>
      </c>
      <c r="C109" s="1" t="s">
        <v>39</v>
      </c>
      <c r="D109" s="1" t="s">
        <v>45</v>
      </c>
      <c r="E109" s="1" t="s">
        <v>33</v>
      </c>
      <c r="F109" s="1">
        <v>9955</v>
      </c>
      <c r="G109" s="1">
        <v>1521</v>
      </c>
      <c r="H109" s="1">
        <v>233</v>
      </c>
      <c r="I109" s="1" t="s">
        <v>34</v>
      </c>
      <c r="J109" s="1">
        <v>31</v>
      </c>
      <c r="K109" s="1" t="s">
        <v>41</v>
      </c>
      <c r="L109" s="1">
        <v>539</v>
      </c>
      <c r="M109" s="1">
        <v>269.5</v>
      </c>
      <c r="N109">
        <v>38</v>
      </c>
      <c r="O109" s="1" t="s">
        <v>26</v>
      </c>
      <c r="P109" s="1" t="s">
        <v>46</v>
      </c>
      <c r="Q109" s="1">
        <v>25</v>
      </c>
      <c r="R109" s="1" t="s">
        <v>29</v>
      </c>
      <c r="S109" s="1">
        <v>3885</v>
      </c>
      <c r="T109" s="5">
        <f>Tabela1[[#This Row],[investimento]]/Tabela1[[#This Row],[leads_gerados]]</f>
        <v>42.725321888412019</v>
      </c>
      <c r="U109" s="5">
        <f>VLOOKUP(Tabela1[[#This Row],[canal_aquisicao]],Tabela2[#All],2,0)</f>
        <v>23256.714285714286</v>
      </c>
      <c r="V109" s="1" t="str">
        <f t="shared" si="12"/>
        <v>Não Qualificado</v>
      </c>
      <c r="W109" s="1" t="str">
        <f>VLOOKUP(C109,Tabela5[#All],2,0)</f>
        <v>Awareness</v>
      </c>
      <c r="X109" s="14" t="str">
        <f t="shared" si="13"/>
        <v>Baixo</v>
      </c>
      <c r="Y109" s="17" t="str">
        <f t="shared" si="14"/>
        <v>Médio</v>
      </c>
      <c r="Z109" s="17" t="str">
        <f t="shared" si="15"/>
        <v>Adulto</v>
      </c>
      <c r="AA109" s="17" t="str">
        <f>IF($AG$10&gt;=Tabela1[[#This Row],[investimento]]&gt;=$AG$11,"OK","Outlier")</f>
        <v>OK</v>
      </c>
      <c r="AB109" s="17" t="str">
        <f>IF($AG$17&gt;=Tabela1[[#This Row],[visitantes]]&gt;=$AG$18,"OK","Outlier")</f>
        <v>OK</v>
      </c>
      <c r="AC109" s="17" t="str">
        <f>IF($AG$24&gt;=Tabela1[[#This Row],[leads_gerados]]&gt;=$AG$25,"OK","Outlier")</f>
        <v>OK</v>
      </c>
      <c r="AD109" s="17" t="str">
        <f>IF($AG$31&gt;=Tabela1[[#This Row],[ltv_estimado]]&gt;=$AG$32,"OK","Outlier")</f>
        <v>OK</v>
      </c>
      <c r="AE109" s="17"/>
    </row>
    <row r="110" spans="1:31" ht="15.75" customHeight="1" x14ac:dyDescent="0.25">
      <c r="A110" s="1" t="s">
        <v>67</v>
      </c>
      <c r="B110" s="2">
        <v>45701</v>
      </c>
      <c r="C110" s="1" t="s">
        <v>39</v>
      </c>
      <c r="D110" s="1" t="s">
        <v>45</v>
      </c>
      <c r="E110" s="1" t="s">
        <v>50</v>
      </c>
      <c r="F110" s="1">
        <v>5861</v>
      </c>
      <c r="G110" s="1">
        <v>487</v>
      </c>
      <c r="H110" s="1">
        <v>30</v>
      </c>
      <c r="I110" s="1" t="s">
        <v>63</v>
      </c>
      <c r="J110" s="1">
        <v>36</v>
      </c>
      <c r="K110" s="1" t="s">
        <v>25</v>
      </c>
      <c r="L110" s="1">
        <v>0</v>
      </c>
      <c r="M110" s="1">
        <v>0</v>
      </c>
      <c r="N110" s="1">
        <v>61</v>
      </c>
      <c r="O110" s="1" t="s">
        <v>26</v>
      </c>
      <c r="P110" s="1" t="s">
        <v>46</v>
      </c>
      <c r="Q110" s="1">
        <v>46</v>
      </c>
      <c r="R110" s="1" t="s">
        <v>47</v>
      </c>
      <c r="S110" s="1">
        <v>4637</v>
      </c>
      <c r="T110" s="5">
        <f>Tabela1[[#This Row],[investimento]]/Tabela1[[#This Row],[leads_gerados]]</f>
        <v>195.36666666666667</v>
      </c>
      <c r="U110" s="5">
        <f>VLOOKUP(Tabela1[[#This Row],[canal_aquisicao]],Tabela2[#All],2,0)</f>
        <v>23256.714285714286</v>
      </c>
      <c r="V110" s="1" t="str">
        <f t="shared" si="12"/>
        <v>Não Qualificado</v>
      </c>
      <c r="W110" s="1" t="str">
        <f>VLOOKUP(C110,Tabela5[#All],2,0)</f>
        <v>Awareness</v>
      </c>
      <c r="X110" s="14" t="str">
        <f t="shared" si="13"/>
        <v>Médio</v>
      </c>
      <c r="Y110" s="17" t="str">
        <f t="shared" si="14"/>
        <v>Sem Compra</v>
      </c>
      <c r="Z110" s="17" t="str">
        <f t="shared" si="15"/>
        <v>Sênior</v>
      </c>
      <c r="AA110" s="17" t="str">
        <f>IF($AG$10&gt;=Tabela1[[#This Row],[investimento]]&gt;=$AG$11,"OK","Outlier")</f>
        <v>OK</v>
      </c>
      <c r="AB110" s="17" t="str">
        <f>IF($AG$17&gt;=Tabela1[[#This Row],[visitantes]]&gt;=$AG$18,"OK","Outlier")</f>
        <v>OK</v>
      </c>
      <c r="AC110" s="17" t="str">
        <f>IF($AG$24&gt;=Tabela1[[#This Row],[leads_gerados]]&gt;=$AG$25,"OK","Outlier")</f>
        <v>OK</v>
      </c>
      <c r="AD110" s="17" t="str">
        <f>IF($AG$31&gt;=Tabela1[[#This Row],[ltv_estimado]]&gt;=$AG$32,"OK","Outlier")</f>
        <v>OK</v>
      </c>
      <c r="AE110" s="17"/>
    </row>
    <row r="111" spans="1:31" ht="15.75" customHeight="1" x14ac:dyDescent="0.25">
      <c r="A111" s="1" t="s">
        <v>122</v>
      </c>
      <c r="B111" s="2">
        <v>45424</v>
      </c>
      <c r="C111" s="1" t="s">
        <v>31</v>
      </c>
      <c r="D111" s="1" t="s">
        <v>45</v>
      </c>
      <c r="E111" s="1" t="s">
        <v>33</v>
      </c>
      <c r="F111" s="1">
        <v>14373</v>
      </c>
      <c r="G111" s="1">
        <v>3241</v>
      </c>
      <c r="H111" s="1">
        <v>177</v>
      </c>
      <c r="I111" s="1" t="s">
        <v>55</v>
      </c>
      <c r="J111" s="1">
        <v>12</v>
      </c>
      <c r="K111" s="1" t="s">
        <v>25</v>
      </c>
      <c r="L111" s="1">
        <v>0</v>
      </c>
      <c r="M111" s="1">
        <v>0</v>
      </c>
      <c r="N111" s="1">
        <v>20</v>
      </c>
      <c r="O111" s="1" t="s">
        <v>26</v>
      </c>
      <c r="P111" s="1" t="s">
        <v>51</v>
      </c>
      <c r="Q111" s="1">
        <v>1</v>
      </c>
      <c r="R111" s="1" t="s">
        <v>47</v>
      </c>
      <c r="S111" s="1">
        <v>686</v>
      </c>
      <c r="T111" s="5">
        <f>Tabela1[[#This Row],[investimento]]/Tabela1[[#This Row],[leads_gerados]]</f>
        <v>81.20338983050847</v>
      </c>
      <c r="U111" s="5">
        <f>VLOOKUP(Tabela1[[#This Row],[canal_aquisicao]],Tabela2[#All],2,0)</f>
        <v>20204</v>
      </c>
      <c r="V111" s="1" t="str">
        <f t="shared" si="12"/>
        <v>Não Qualificado</v>
      </c>
      <c r="W111" s="1" t="str">
        <f>VLOOKUP(C111,Tabela5[#All],2,0)</f>
        <v>Intenção de Compra</v>
      </c>
      <c r="X111" s="14" t="str">
        <f t="shared" si="13"/>
        <v>Baixo</v>
      </c>
      <c r="Y111" s="17" t="str">
        <f t="shared" si="14"/>
        <v>Sem Compra</v>
      </c>
      <c r="Z111" s="17" t="str">
        <f t="shared" si="15"/>
        <v>Jovem</v>
      </c>
      <c r="AA111" s="17" t="str">
        <f>IF($AG$10&gt;=Tabela1[[#This Row],[investimento]]&gt;=$AG$11,"OK","Outlier")</f>
        <v>OK</v>
      </c>
      <c r="AB111" s="17" t="str">
        <f>IF($AG$17&gt;=Tabela1[[#This Row],[visitantes]]&gt;=$AG$18,"OK","Outlier")</f>
        <v>OK</v>
      </c>
      <c r="AC111" s="17" t="str">
        <f>IF($AG$24&gt;=Tabela1[[#This Row],[leads_gerados]]&gt;=$AG$25,"OK","Outlier")</f>
        <v>OK</v>
      </c>
      <c r="AD111" s="17" t="str">
        <f>IF($AG$31&gt;=Tabela1[[#This Row],[ltv_estimado]]&gt;=$AG$32,"OK","Outlier")</f>
        <v>OK</v>
      </c>
      <c r="AE111" s="17"/>
    </row>
    <row r="112" spans="1:31" ht="15.75" customHeight="1" x14ac:dyDescent="0.25">
      <c r="A112" s="1" t="s">
        <v>77</v>
      </c>
      <c r="B112" s="2">
        <v>45647</v>
      </c>
      <c r="C112" s="1" t="s">
        <v>54</v>
      </c>
      <c r="D112" s="1" t="s">
        <v>45</v>
      </c>
      <c r="E112" s="1" t="s">
        <v>24</v>
      </c>
      <c r="F112" s="1">
        <v>14422</v>
      </c>
      <c r="G112" s="1">
        <v>2510</v>
      </c>
      <c r="H112" s="1">
        <v>267</v>
      </c>
      <c r="I112" s="1" t="s">
        <v>34</v>
      </c>
      <c r="J112" s="1">
        <v>22</v>
      </c>
      <c r="K112" s="1" t="s">
        <v>41</v>
      </c>
      <c r="L112" s="1">
        <v>860</v>
      </c>
      <c r="M112" s="1">
        <v>860</v>
      </c>
      <c r="N112" s="1">
        <v>54</v>
      </c>
      <c r="O112" s="1" t="s">
        <v>26</v>
      </c>
      <c r="P112" s="1" t="s">
        <v>46</v>
      </c>
      <c r="Q112" s="1">
        <v>28</v>
      </c>
      <c r="R112" s="1" t="s">
        <v>29</v>
      </c>
      <c r="S112" s="1">
        <v>2443</v>
      </c>
      <c r="T112" s="5">
        <f>Tabela1[[#This Row],[investimento]]/Tabela1[[#This Row],[leads_gerados]]</f>
        <v>54.014981273408239</v>
      </c>
      <c r="U112" s="5">
        <f>VLOOKUP(Tabela1[[#This Row],[canal_aquisicao]],Tabela2[#All],2,0)</f>
        <v>23467.142857142859</v>
      </c>
      <c r="V112" s="1" t="str">
        <f t="shared" si="12"/>
        <v>Não Qualificado</v>
      </c>
      <c r="W112" s="1" t="str">
        <f>VLOOKUP(C112,Tabela5[#All],2,0)</f>
        <v>Awareness</v>
      </c>
      <c r="X112" s="14" t="str">
        <f t="shared" si="13"/>
        <v>Baixo</v>
      </c>
      <c r="Y112" s="17" t="str">
        <f t="shared" si="14"/>
        <v>Alto</v>
      </c>
      <c r="Z112" s="17" t="str">
        <f t="shared" si="15"/>
        <v>Sênior</v>
      </c>
      <c r="AA112" s="17" t="str">
        <f>IF($AG$10&gt;=Tabela1[[#This Row],[investimento]]&gt;=$AG$11,"OK","Outlier")</f>
        <v>OK</v>
      </c>
      <c r="AB112" s="17" t="str">
        <f>IF($AG$17&gt;=Tabela1[[#This Row],[visitantes]]&gt;=$AG$18,"OK","Outlier")</f>
        <v>OK</v>
      </c>
      <c r="AC112" s="17" t="str">
        <f>IF($AG$24&gt;=Tabela1[[#This Row],[leads_gerados]]&gt;=$AG$25,"OK","Outlier")</f>
        <v>OK</v>
      </c>
      <c r="AD112" s="17" t="str">
        <f>IF($AG$31&gt;=Tabela1[[#This Row],[ltv_estimado]]&gt;=$AG$32,"OK","Outlier")</f>
        <v>OK</v>
      </c>
      <c r="AE112" s="17"/>
    </row>
    <row r="113" spans="1:31" ht="15.75" customHeight="1" x14ac:dyDescent="0.25">
      <c r="A113" s="1" t="s">
        <v>143</v>
      </c>
      <c r="B113" s="2">
        <v>45393</v>
      </c>
      <c r="C113" s="1" t="s">
        <v>54</v>
      </c>
      <c r="D113" s="1" t="s">
        <v>45</v>
      </c>
      <c r="E113" s="1" t="s">
        <v>33</v>
      </c>
      <c r="F113" s="1">
        <v>13928</v>
      </c>
      <c r="G113" s="1">
        <v>3922</v>
      </c>
      <c r="H113" s="1">
        <v>247</v>
      </c>
      <c r="I113" s="1" t="s">
        <v>58</v>
      </c>
      <c r="J113" s="1">
        <v>15</v>
      </c>
      <c r="K113" s="1" t="s">
        <v>25</v>
      </c>
      <c r="L113" s="1">
        <v>0</v>
      </c>
      <c r="M113" s="1">
        <v>0</v>
      </c>
      <c r="N113" s="1">
        <v>27</v>
      </c>
      <c r="O113" s="1" t="s">
        <v>26</v>
      </c>
      <c r="P113" s="1" t="s">
        <v>59</v>
      </c>
      <c r="Q113" s="1">
        <v>8</v>
      </c>
      <c r="R113" s="1" t="s">
        <v>37</v>
      </c>
      <c r="S113" s="1">
        <v>2586</v>
      </c>
      <c r="T113" s="5">
        <f>Tabela1[[#This Row],[investimento]]/Tabela1[[#This Row],[leads_gerados]]</f>
        <v>56.388663967611336</v>
      </c>
      <c r="U113" s="5">
        <f>VLOOKUP(Tabela1[[#This Row],[canal_aquisicao]],Tabela2[#All],2,0)</f>
        <v>23467.142857142859</v>
      </c>
      <c r="V113" s="1" t="str">
        <f t="shared" si="12"/>
        <v>Não Qualificado</v>
      </c>
      <c r="W113" s="1" t="str">
        <f>VLOOKUP(C113,Tabela5[#All],2,0)</f>
        <v>Awareness</v>
      </c>
      <c r="X113" s="14" t="str">
        <f t="shared" si="13"/>
        <v>Baixo</v>
      </c>
      <c r="Y113" s="17" t="str">
        <f t="shared" si="14"/>
        <v>Sem Compra</v>
      </c>
      <c r="Z113" s="17" t="str">
        <f t="shared" si="15"/>
        <v>Adulto</v>
      </c>
      <c r="AA113" s="17" t="str">
        <f>IF($AG$10&gt;=Tabela1[[#This Row],[investimento]]&gt;=$AG$11,"OK","Outlier")</f>
        <v>OK</v>
      </c>
      <c r="AB113" s="17" t="str">
        <f>IF($AG$17&gt;=Tabela1[[#This Row],[visitantes]]&gt;=$AG$18,"OK","Outlier")</f>
        <v>OK</v>
      </c>
      <c r="AC113" s="17" t="str">
        <f>IF($AG$24&gt;=Tabela1[[#This Row],[leads_gerados]]&gt;=$AG$25,"OK","Outlier")</f>
        <v>OK</v>
      </c>
      <c r="AD113" s="17" t="str">
        <f>IF($AG$31&gt;=Tabela1[[#This Row],[ltv_estimado]]&gt;=$AG$32,"OK","Outlier")</f>
        <v>OK</v>
      </c>
      <c r="AE113" s="17"/>
    </row>
    <row r="114" spans="1:31" ht="15.75" customHeight="1" x14ac:dyDescent="0.25">
      <c r="A114" s="1" t="s">
        <v>56</v>
      </c>
      <c r="B114" s="2">
        <v>45355</v>
      </c>
      <c r="C114" s="1" t="s">
        <v>39</v>
      </c>
      <c r="D114" s="1" t="s">
        <v>45</v>
      </c>
      <c r="E114" s="1" t="s">
        <v>24</v>
      </c>
      <c r="F114" s="1">
        <v>18465</v>
      </c>
      <c r="G114" s="1">
        <v>4029</v>
      </c>
      <c r="H114" s="1">
        <v>89</v>
      </c>
      <c r="I114" s="1" t="s">
        <v>24</v>
      </c>
      <c r="J114" s="1">
        <v>39</v>
      </c>
      <c r="K114" s="1" t="s">
        <v>25</v>
      </c>
      <c r="L114" s="1">
        <v>0</v>
      </c>
      <c r="M114" s="1">
        <v>0</v>
      </c>
      <c r="N114" s="1">
        <v>42</v>
      </c>
      <c r="O114" s="1" t="s">
        <v>42</v>
      </c>
      <c r="P114" s="1" t="s">
        <v>59</v>
      </c>
      <c r="Q114" s="1">
        <v>50</v>
      </c>
      <c r="R114" s="1" t="s">
        <v>29</v>
      </c>
      <c r="S114" s="1">
        <v>3347</v>
      </c>
      <c r="T114" s="5">
        <f>Tabela1[[#This Row],[investimento]]/Tabela1[[#This Row],[leads_gerados]]</f>
        <v>207.47191011235955</v>
      </c>
      <c r="U114" s="5">
        <f>VLOOKUP(Tabela1[[#This Row],[canal_aquisicao]],Tabela2[#All],2,0)</f>
        <v>23256.714285714286</v>
      </c>
      <c r="V114" s="1" t="str">
        <f t="shared" si="12"/>
        <v>Não Qualificado</v>
      </c>
      <c r="W114" s="1" t="str">
        <f>VLOOKUP(C114,Tabela5[#All],2,0)</f>
        <v>Awareness</v>
      </c>
      <c r="X114" s="14" t="str">
        <f t="shared" si="13"/>
        <v>Médio</v>
      </c>
      <c r="Y114" s="17" t="str">
        <f t="shared" si="14"/>
        <v>Sem Compra</v>
      </c>
      <c r="Z114" s="17" t="str">
        <f t="shared" si="15"/>
        <v>Sênior</v>
      </c>
      <c r="AA114" s="17" t="str">
        <f>IF($AG$10&gt;=Tabela1[[#This Row],[investimento]]&gt;=$AG$11,"OK","Outlier")</f>
        <v>OK</v>
      </c>
      <c r="AB114" s="17" t="str">
        <f>IF($AG$17&gt;=Tabela1[[#This Row],[visitantes]]&gt;=$AG$18,"OK","Outlier")</f>
        <v>OK</v>
      </c>
      <c r="AC114" s="17" t="str">
        <f>IF($AG$24&gt;=Tabela1[[#This Row],[leads_gerados]]&gt;=$AG$25,"OK","Outlier")</f>
        <v>OK</v>
      </c>
      <c r="AD114" s="17" t="str">
        <f>IF($AG$31&gt;=Tabela1[[#This Row],[ltv_estimado]]&gt;=$AG$32,"OK","Outlier")</f>
        <v>OK</v>
      </c>
      <c r="AE114" s="17"/>
    </row>
    <row r="115" spans="1:31" ht="15.75" customHeight="1" x14ac:dyDescent="0.25">
      <c r="A115" s="1" t="s">
        <v>133</v>
      </c>
      <c r="B115" s="2">
        <v>45362</v>
      </c>
      <c r="C115" s="1" t="s">
        <v>57</v>
      </c>
      <c r="D115" s="1" t="s">
        <v>45</v>
      </c>
      <c r="E115" s="1" t="s">
        <v>33</v>
      </c>
      <c r="F115" s="1">
        <v>11714</v>
      </c>
      <c r="G115" s="1">
        <v>4171</v>
      </c>
      <c r="H115" s="1">
        <v>140</v>
      </c>
      <c r="I115" s="1" t="s">
        <v>55</v>
      </c>
      <c r="J115" s="1">
        <v>4</v>
      </c>
      <c r="K115" s="1" t="s">
        <v>25</v>
      </c>
      <c r="L115" s="1">
        <v>0</v>
      </c>
      <c r="M115" s="1">
        <v>0</v>
      </c>
      <c r="N115">
        <v>38</v>
      </c>
      <c r="O115" s="1" t="s">
        <v>26</v>
      </c>
      <c r="P115" s="1" t="s">
        <v>35</v>
      </c>
      <c r="Q115" s="1">
        <v>89</v>
      </c>
      <c r="R115" s="1" t="s">
        <v>47</v>
      </c>
      <c r="S115" s="1">
        <v>1433</v>
      </c>
      <c r="T115" s="5">
        <f>Tabela1[[#This Row],[investimento]]/Tabela1[[#This Row],[leads_gerados]]</f>
        <v>83.671428571428578</v>
      </c>
      <c r="U115" s="5">
        <f>VLOOKUP(Tabela1[[#This Row],[canal_aquisicao]],Tabela2[#All],2,0)</f>
        <v>22207.375</v>
      </c>
      <c r="V115" s="1" t="str">
        <f t="shared" si="12"/>
        <v>Qualificado</v>
      </c>
      <c r="W115" s="1" t="str">
        <f>VLOOKUP(C115,Tabela5[#All],2,0)</f>
        <v>Intenção de Compra</v>
      </c>
      <c r="X115" s="14" t="str">
        <f t="shared" si="13"/>
        <v>Alto</v>
      </c>
      <c r="Y115" s="17" t="str">
        <f t="shared" si="14"/>
        <v>Sem Compra</v>
      </c>
      <c r="Z115" s="17" t="str">
        <f t="shared" si="15"/>
        <v>Adulto</v>
      </c>
      <c r="AA115" s="17" t="str">
        <f>IF($AG$10&gt;=Tabela1[[#This Row],[investimento]]&gt;=$AG$11,"OK","Outlier")</f>
        <v>OK</v>
      </c>
      <c r="AB115" s="17" t="str">
        <f>IF($AG$17&gt;=Tabela1[[#This Row],[visitantes]]&gt;=$AG$18,"OK","Outlier")</f>
        <v>OK</v>
      </c>
      <c r="AC115" s="17" t="str">
        <f>IF($AG$24&gt;=Tabela1[[#This Row],[leads_gerados]]&gt;=$AG$25,"OK","Outlier")</f>
        <v>OK</v>
      </c>
      <c r="AD115" s="17" t="str">
        <f>IF($AG$31&gt;=Tabela1[[#This Row],[ltv_estimado]]&gt;=$AG$32,"OK","Outlier")</f>
        <v>OK</v>
      </c>
      <c r="AE115" s="17"/>
    </row>
    <row r="116" spans="1:31" ht="15.75" customHeight="1" x14ac:dyDescent="0.25">
      <c r="A116" s="1" t="s">
        <v>145</v>
      </c>
      <c r="B116" s="2">
        <v>45439</v>
      </c>
      <c r="C116" s="1" t="s">
        <v>39</v>
      </c>
      <c r="D116" s="1" t="s">
        <v>45</v>
      </c>
      <c r="E116" s="1" t="s">
        <v>24</v>
      </c>
      <c r="F116" s="1">
        <v>9699</v>
      </c>
      <c r="G116" s="1">
        <v>222</v>
      </c>
      <c r="H116" s="1">
        <v>37</v>
      </c>
      <c r="I116" s="1" t="s">
        <v>24</v>
      </c>
      <c r="J116" s="1">
        <v>21</v>
      </c>
      <c r="K116" s="1" t="s">
        <v>41</v>
      </c>
      <c r="L116" s="1">
        <v>489</v>
      </c>
      <c r="M116" s="1">
        <v>489</v>
      </c>
      <c r="N116" s="1">
        <v>33</v>
      </c>
      <c r="O116" s="1" t="s">
        <v>26</v>
      </c>
      <c r="P116" s="1" t="s">
        <v>59</v>
      </c>
      <c r="Q116" s="1">
        <v>32</v>
      </c>
      <c r="R116" s="1" t="s">
        <v>47</v>
      </c>
      <c r="S116" s="1">
        <v>4644</v>
      </c>
      <c r="T116" s="5">
        <f>Tabela1[[#This Row],[investimento]]/Tabela1[[#This Row],[leads_gerados]]</f>
        <v>262.13513513513516</v>
      </c>
      <c r="U116" s="5">
        <f>VLOOKUP(Tabela1[[#This Row],[canal_aquisicao]],Tabela2[#All],2,0)</f>
        <v>23256.714285714286</v>
      </c>
      <c r="V116" s="1" t="str">
        <f t="shared" si="12"/>
        <v>Não Qualificado</v>
      </c>
      <c r="W116" s="1" t="str">
        <f>VLOOKUP(C116,Tabela5[#All],2,0)</f>
        <v>Awareness</v>
      </c>
      <c r="X116" s="14" t="str">
        <f t="shared" si="13"/>
        <v>Baixo</v>
      </c>
      <c r="Y116" s="17" t="str">
        <f t="shared" si="14"/>
        <v>Alto</v>
      </c>
      <c r="Z116" s="17" t="str">
        <f t="shared" si="15"/>
        <v>Adulto</v>
      </c>
      <c r="AA116" s="17" t="str">
        <f>IF($AG$10&gt;=Tabela1[[#This Row],[investimento]]&gt;=$AG$11,"OK","Outlier")</f>
        <v>OK</v>
      </c>
      <c r="AB116" s="17" t="str">
        <f>IF($AG$17&gt;=Tabela1[[#This Row],[visitantes]]&gt;=$AG$18,"OK","Outlier")</f>
        <v>OK</v>
      </c>
      <c r="AC116" s="17" t="str">
        <f>IF($AG$24&gt;=Tabela1[[#This Row],[leads_gerados]]&gt;=$AG$25,"OK","Outlier")</f>
        <v>OK</v>
      </c>
      <c r="AD116" s="17" t="str">
        <f>IF($AG$31&gt;=Tabela1[[#This Row],[ltv_estimado]]&gt;=$AG$32,"OK","Outlier")</f>
        <v>OK</v>
      </c>
      <c r="AE116" s="17"/>
    </row>
    <row r="117" spans="1:31" ht="15.75" customHeight="1" x14ac:dyDescent="0.25">
      <c r="A117" s="1" t="s">
        <v>81</v>
      </c>
      <c r="B117" s="2">
        <v>45600</v>
      </c>
      <c r="C117" s="1" t="s">
        <v>21</v>
      </c>
      <c r="D117" s="1" t="s">
        <v>45</v>
      </c>
      <c r="E117" s="1" t="s">
        <v>24</v>
      </c>
      <c r="F117" s="1">
        <v>2879</v>
      </c>
      <c r="G117" s="1">
        <v>4628</v>
      </c>
      <c r="H117" s="1">
        <v>239</v>
      </c>
      <c r="I117" s="1" t="s">
        <v>63</v>
      </c>
      <c r="J117" s="1">
        <v>32</v>
      </c>
      <c r="K117" s="1" t="s">
        <v>25</v>
      </c>
      <c r="L117" s="1">
        <v>0</v>
      </c>
      <c r="M117" s="1">
        <v>0</v>
      </c>
      <c r="N117">
        <v>40</v>
      </c>
      <c r="O117" s="1" t="s">
        <v>42</v>
      </c>
      <c r="P117" s="1" t="s">
        <v>46</v>
      </c>
      <c r="Q117" s="1">
        <v>35</v>
      </c>
      <c r="R117" s="1" t="s">
        <v>37</v>
      </c>
      <c r="S117" s="1">
        <v>4527</v>
      </c>
      <c r="T117" s="5">
        <f>Tabela1[[#This Row],[investimento]]/Tabela1[[#This Row],[leads_gerados]]</f>
        <v>12.04602510460251</v>
      </c>
      <c r="U117" s="5">
        <f>VLOOKUP(Tabela1[[#This Row],[canal_aquisicao]],Tabela2[#All],2,0)</f>
        <v>18122.25</v>
      </c>
      <c r="V117" s="1" t="str">
        <f t="shared" si="12"/>
        <v>Não Qualificado</v>
      </c>
      <c r="W117" s="1" t="str">
        <f>VLOOKUP(C117,Tabela5[#All],2,0)</f>
        <v>Intenção de Compra</v>
      </c>
      <c r="X117" s="14" t="str">
        <f t="shared" si="13"/>
        <v>Baixo</v>
      </c>
      <c r="Y117" s="17" t="str">
        <f t="shared" si="14"/>
        <v>Sem Compra</v>
      </c>
      <c r="Z117" s="17" t="str">
        <f t="shared" si="15"/>
        <v>Adulto</v>
      </c>
      <c r="AA117" s="17" t="str">
        <f>IF($AG$10&gt;=Tabela1[[#This Row],[investimento]]&gt;=$AG$11,"OK","Outlier")</f>
        <v>OK</v>
      </c>
      <c r="AB117" s="17" t="str">
        <f>IF($AG$17&gt;=Tabela1[[#This Row],[visitantes]]&gt;=$AG$18,"OK","Outlier")</f>
        <v>OK</v>
      </c>
      <c r="AC117" s="17" t="str">
        <f>IF($AG$24&gt;=Tabela1[[#This Row],[leads_gerados]]&gt;=$AG$25,"OK","Outlier")</f>
        <v>OK</v>
      </c>
      <c r="AD117" s="17" t="str">
        <f>IF($AG$31&gt;=Tabela1[[#This Row],[ltv_estimado]]&gt;=$AG$32,"OK","Outlier")</f>
        <v>OK</v>
      </c>
      <c r="AE117" s="17"/>
    </row>
    <row r="118" spans="1:31" ht="15.75" customHeight="1" x14ac:dyDescent="0.25">
      <c r="A118" s="1" t="s">
        <v>147</v>
      </c>
      <c r="B118" s="2">
        <v>45687</v>
      </c>
      <c r="C118" s="1" t="s">
        <v>54</v>
      </c>
      <c r="D118" s="1" t="s">
        <v>45</v>
      </c>
      <c r="E118" s="1" t="s">
        <v>23</v>
      </c>
      <c r="F118" s="1">
        <v>13761</v>
      </c>
      <c r="G118" s="1">
        <v>4169</v>
      </c>
      <c r="H118" s="1">
        <v>110</v>
      </c>
      <c r="I118" s="1" t="s">
        <v>63</v>
      </c>
      <c r="J118" s="1">
        <v>1</v>
      </c>
      <c r="K118" s="1" t="s">
        <v>25</v>
      </c>
      <c r="L118" s="1">
        <v>0</v>
      </c>
      <c r="M118" s="1">
        <v>0</v>
      </c>
      <c r="N118">
        <v>40</v>
      </c>
      <c r="O118" s="1" t="s">
        <v>42</v>
      </c>
      <c r="P118" s="1" t="s">
        <v>46</v>
      </c>
      <c r="Q118" s="1">
        <v>57</v>
      </c>
      <c r="R118" s="1" t="s">
        <v>47</v>
      </c>
      <c r="S118" s="1">
        <v>3854</v>
      </c>
      <c r="T118" s="5">
        <f>Tabela1[[#This Row],[investimento]]/Tabela1[[#This Row],[leads_gerados]]</f>
        <v>125.1</v>
      </c>
      <c r="U118" s="5">
        <f>VLOOKUP(Tabela1[[#This Row],[canal_aquisicao]],Tabela2[#All],2,0)</f>
        <v>23467.142857142859</v>
      </c>
      <c r="V118" s="1" t="str">
        <f t="shared" si="12"/>
        <v>Não Qualificado</v>
      </c>
      <c r="W118" s="1" t="str">
        <f>VLOOKUP(C118,Tabela5[#All],2,0)</f>
        <v>Awareness</v>
      </c>
      <c r="X118" s="14" t="str">
        <f t="shared" si="13"/>
        <v>Médio</v>
      </c>
      <c r="Y118" s="17" t="str">
        <f t="shared" si="14"/>
        <v>Sem Compra</v>
      </c>
      <c r="Z118" s="17" t="str">
        <f t="shared" si="15"/>
        <v>Adulto</v>
      </c>
      <c r="AA118" s="17" t="str">
        <f>IF($AG$10&gt;=Tabela1[[#This Row],[investimento]]&gt;=$AG$11,"OK","Outlier")</f>
        <v>OK</v>
      </c>
      <c r="AB118" s="17" t="str">
        <f>IF($AG$17&gt;=Tabela1[[#This Row],[visitantes]]&gt;=$AG$18,"OK","Outlier")</f>
        <v>OK</v>
      </c>
      <c r="AC118" s="17" t="str">
        <f>IF($AG$24&gt;=Tabela1[[#This Row],[leads_gerados]]&gt;=$AG$25,"OK","Outlier")</f>
        <v>OK</v>
      </c>
      <c r="AD118" s="17" t="str">
        <f>IF($AG$31&gt;=Tabela1[[#This Row],[ltv_estimado]]&gt;=$AG$32,"OK","Outlier")</f>
        <v>OK</v>
      </c>
      <c r="AE118" s="17"/>
    </row>
    <row r="119" spans="1:31" ht="15.75" customHeight="1" x14ac:dyDescent="0.25">
      <c r="A119" s="1" t="s">
        <v>132</v>
      </c>
      <c r="B119" s="2">
        <v>45504</v>
      </c>
      <c r="C119" s="1" t="s">
        <v>39</v>
      </c>
      <c r="D119" s="1" t="s">
        <v>45</v>
      </c>
      <c r="E119" s="1" t="s">
        <v>33</v>
      </c>
      <c r="F119" s="1">
        <v>9070</v>
      </c>
      <c r="G119" s="1">
        <v>2195</v>
      </c>
      <c r="H119" s="1">
        <v>123</v>
      </c>
      <c r="I119" s="1" t="s">
        <v>58</v>
      </c>
      <c r="J119" s="1">
        <v>31</v>
      </c>
      <c r="K119" s="1" t="s">
        <v>25</v>
      </c>
      <c r="L119" s="1">
        <v>0</v>
      </c>
      <c r="M119" s="1">
        <v>0</v>
      </c>
      <c r="N119">
        <v>38</v>
      </c>
      <c r="O119" s="1" t="s">
        <v>26</v>
      </c>
      <c r="P119" s="1" t="s">
        <v>35</v>
      </c>
      <c r="Q119" s="1">
        <v>87</v>
      </c>
      <c r="R119" s="1" t="s">
        <v>29</v>
      </c>
      <c r="S119" s="1">
        <v>1884</v>
      </c>
      <c r="T119" s="5">
        <f>Tabela1[[#This Row],[investimento]]/Tabela1[[#This Row],[leads_gerados]]</f>
        <v>73.739837398373979</v>
      </c>
      <c r="U119" s="5">
        <f>VLOOKUP(Tabela1[[#This Row],[canal_aquisicao]],Tabela2[#All],2,0)</f>
        <v>23256.714285714286</v>
      </c>
      <c r="V119" s="1" t="str">
        <f t="shared" si="12"/>
        <v>Qualificado</v>
      </c>
      <c r="W119" s="1" t="str">
        <f>VLOOKUP(C119,Tabela5[#All],2,0)</f>
        <v>Awareness</v>
      </c>
      <c r="X119" s="14" t="str">
        <f t="shared" si="13"/>
        <v>Alto</v>
      </c>
      <c r="Y119" s="17" t="str">
        <f t="shared" si="14"/>
        <v>Sem Compra</v>
      </c>
      <c r="Z119" s="17" t="str">
        <f t="shared" si="15"/>
        <v>Adulto</v>
      </c>
      <c r="AA119" s="17" t="str">
        <f>IF($AG$10&gt;=Tabela1[[#This Row],[investimento]]&gt;=$AG$11,"OK","Outlier")</f>
        <v>OK</v>
      </c>
      <c r="AB119" s="17" t="str">
        <f>IF($AG$17&gt;=Tabela1[[#This Row],[visitantes]]&gt;=$AG$18,"OK","Outlier")</f>
        <v>OK</v>
      </c>
      <c r="AC119" s="17" t="str">
        <f>IF($AG$24&gt;=Tabela1[[#This Row],[leads_gerados]]&gt;=$AG$25,"OK","Outlier")</f>
        <v>OK</v>
      </c>
      <c r="AD119" s="17" t="str">
        <f>IF($AG$31&gt;=Tabela1[[#This Row],[ltv_estimado]]&gt;=$AG$32,"OK","Outlier")</f>
        <v>OK</v>
      </c>
      <c r="AE119" s="17"/>
    </row>
    <row r="120" spans="1:31" ht="15.75" customHeight="1" x14ac:dyDescent="0.25">
      <c r="A120" s="1" t="s">
        <v>139</v>
      </c>
      <c r="B120" s="2">
        <v>45593</v>
      </c>
      <c r="C120" s="1" t="s">
        <v>57</v>
      </c>
      <c r="D120" s="1" t="s">
        <v>45</v>
      </c>
      <c r="E120" s="1" t="s">
        <v>23</v>
      </c>
      <c r="F120" s="1">
        <v>17364</v>
      </c>
      <c r="G120" s="1">
        <v>2904</v>
      </c>
      <c r="H120" s="1">
        <v>248</v>
      </c>
      <c r="I120" s="1" t="s">
        <v>24</v>
      </c>
      <c r="J120" s="1">
        <v>21</v>
      </c>
      <c r="K120" s="1" t="s">
        <v>25</v>
      </c>
      <c r="L120" s="1">
        <v>0</v>
      </c>
      <c r="M120" s="1">
        <v>0</v>
      </c>
      <c r="N120" s="1">
        <v>31</v>
      </c>
      <c r="O120" s="1" t="s">
        <v>26</v>
      </c>
      <c r="P120" s="1" t="s">
        <v>51</v>
      </c>
      <c r="Q120" s="1">
        <v>96</v>
      </c>
      <c r="R120" s="1" t="s">
        <v>29</v>
      </c>
      <c r="S120" s="1">
        <v>2983</v>
      </c>
      <c r="T120" s="5">
        <f>Tabela1[[#This Row],[investimento]]/Tabela1[[#This Row],[leads_gerados]]</f>
        <v>70.016129032258064</v>
      </c>
      <c r="U120" s="5">
        <f>VLOOKUP(Tabela1[[#This Row],[canal_aquisicao]],Tabela2[#All],2,0)</f>
        <v>22207.375</v>
      </c>
      <c r="V120" s="1" t="str">
        <f t="shared" si="12"/>
        <v>Qualificado</v>
      </c>
      <c r="W120" s="1" t="str">
        <f>VLOOKUP(C120,Tabela5[#All],2,0)</f>
        <v>Intenção de Compra</v>
      </c>
      <c r="X120" s="14" t="str">
        <f t="shared" si="13"/>
        <v>Alto</v>
      </c>
      <c r="Y120" s="17" t="str">
        <f t="shared" si="14"/>
        <v>Sem Compra</v>
      </c>
      <c r="Z120" s="17" t="str">
        <f t="shared" si="15"/>
        <v>Adulto</v>
      </c>
      <c r="AA120" s="17" t="str">
        <f>IF($AG$10&gt;=Tabela1[[#This Row],[investimento]]&gt;=$AG$11,"OK","Outlier")</f>
        <v>OK</v>
      </c>
      <c r="AB120" s="17" t="str">
        <f>IF($AG$17&gt;=Tabela1[[#This Row],[visitantes]]&gt;=$AG$18,"OK","Outlier")</f>
        <v>OK</v>
      </c>
      <c r="AC120" s="17" t="str">
        <f>IF($AG$24&gt;=Tabela1[[#This Row],[leads_gerados]]&gt;=$AG$25,"OK","Outlier")</f>
        <v>OK</v>
      </c>
      <c r="AD120" s="17" t="str">
        <f>IF($AG$31&gt;=Tabela1[[#This Row],[ltv_estimado]]&gt;=$AG$32,"OK","Outlier")</f>
        <v>OK</v>
      </c>
      <c r="AE120" s="17"/>
    </row>
    <row r="121" spans="1:31" ht="15.75" customHeight="1" x14ac:dyDescent="0.25">
      <c r="A121" s="1" t="s">
        <v>116</v>
      </c>
      <c r="B121" s="2">
        <v>45694</v>
      </c>
      <c r="C121" s="1" t="s">
        <v>57</v>
      </c>
      <c r="D121" s="1" t="s">
        <v>45</v>
      </c>
      <c r="E121" s="1" t="s">
        <v>33</v>
      </c>
      <c r="F121" s="1">
        <v>9574</v>
      </c>
      <c r="G121" s="1">
        <v>3517</v>
      </c>
      <c r="H121" s="1">
        <v>85</v>
      </c>
      <c r="I121" s="1" t="s">
        <v>55</v>
      </c>
      <c r="J121" s="1">
        <v>39</v>
      </c>
      <c r="K121" s="1" t="s">
        <v>41</v>
      </c>
      <c r="L121" s="1">
        <v>335</v>
      </c>
      <c r="M121" s="1">
        <v>111.67</v>
      </c>
      <c r="N121" s="1">
        <v>63</v>
      </c>
      <c r="O121" s="1" t="s">
        <v>42</v>
      </c>
      <c r="P121" s="1" t="s">
        <v>51</v>
      </c>
      <c r="Q121" s="1">
        <v>23</v>
      </c>
      <c r="R121" s="1" t="s">
        <v>47</v>
      </c>
      <c r="S121" s="1">
        <v>2439</v>
      </c>
      <c r="T121" s="5">
        <f>Tabela1[[#This Row],[investimento]]/Tabela1[[#This Row],[leads_gerados]]</f>
        <v>112.63529411764706</v>
      </c>
      <c r="U121" s="5">
        <f>VLOOKUP(Tabela1[[#This Row],[canal_aquisicao]],Tabela2[#All],2,0)</f>
        <v>22207.375</v>
      </c>
      <c r="V121" s="1" t="str">
        <f t="shared" si="12"/>
        <v>Não Qualificado</v>
      </c>
      <c r="W121" s="1" t="str">
        <f>VLOOKUP(C121,Tabela5[#All],2,0)</f>
        <v>Intenção de Compra</v>
      </c>
      <c r="X121" s="14" t="str">
        <f t="shared" si="13"/>
        <v>Baixo</v>
      </c>
      <c r="Y121" s="17" t="str">
        <f t="shared" si="14"/>
        <v>Baixo</v>
      </c>
      <c r="Z121" s="17" t="str">
        <f t="shared" si="15"/>
        <v>Sênior</v>
      </c>
      <c r="AA121" s="17" t="str">
        <f>IF($AG$10&gt;=Tabela1[[#This Row],[investimento]]&gt;=$AG$11,"OK","Outlier")</f>
        <v>OK</v>
      </c>
      <c r="AB121" s="17" t="str">
        <f>IF($AG$17&gt;=Tabela1[[#This Row],[visitantes]]&gt;=$AG$18,"OK","Outlier")</f>
        <v>OK</v>
      </c>
      <c r="AC121" s="17" t="str">
        <f>IF($AG$24&gt;=Tabela1[[#This Row],[leads_gerados]]&gt;=$AG$25,"OK","Outlier")</f>
        <v>OK</v>
      </c>
      <c r="AD121" s="17" t="str">
        <f>IF($AG$31&gt;=Tabela1[[#This Row],[ltv_estimado]]&gt;=$AG$32,"OK","Outlier")</f>
        <v>OK</v>
      </c>
      <c r="AE121" s="17"/>
    </row>
    <row r="122" spans="1:31" ht="15.75" customHeight="1" x14ac:dyDescent="0.25">
      <c r="A122" s="1" t="s">
        <v>151</v>
      </c>
      <c r="B122" s="2">
        <v>45408</v>
      </c>
      <c r="C122" s="1" t="s">
        <v>21</v>
      </c>
      <c r="D122" s="1" t="s">
        <v>45</v>
      </c>
      <c r="E122" s="1" t="s">
        <v>50</v>
      </c>
      <c r="F122" s="1">
        <v>8844</v>
      </c>
      <c r="G122" s="1">
        <v>2611</v>
      </c>
      <c r="H122" s="1">
        <v>65</v>
      </c>
      <c r="I122" s="1" t="s">
        <v>58</v>
      </c>
      <c r="J122" s="1">
        <v>8</v>
      </c>
      <c r="K122" s="1" t="s">
        <v>41</v>
      </c>
      <c r="L122" s="1">
        <v>687</v>
      </c>
      <c r="M122" s="1">
        <v>687</v>
      </c>
      <c r="N122">
        <v>38</v>
      </c>
      <c r="O122" s="1" t="s">
        <v>26</v>
      </c>
      <c r="P122" s="1" t="s">
        <v>35</v>
      </c>
      <c r="Q122" s="1">
        <v>94</v>
      </c>
      <c r="R122" s="1" t="s">
        <v>29</v>
      </c>
      <c r="S122" s="1">
        <v>3050</v>
      </c>
      <c r="T122" s="5">
        <f>Tabela1[[#This Row],[investimento]]/Tabela1[[#This Row],[leads_gerados]]</f>
        <v>136.06153846153848</v>
      </c>
      <c r="U122" s="5">
        <f>VLOOKUP(Tabela1[[#This Row],[canal_aquisicao]],Tabela2[#All],2,0)</f>
        <v>18122.25</v>
      </c>
      <c r="V122" s="1" t="str">
        <f t="shared" si="12"/>
        <v>Qualificado</v>
      </c>
      <c r="W122" s="1" t="str">
        <f>VLOOKUP(C122,Tabela5[#All],2,0)</f>
        <v>Intenção de Compra</v>
      </c>
      <c r="X122" s="14" t="str">
        <f t="shared" si="13"/>
        <v>Alto</v>
      </c>
      <c r="Y122" s="17" t="str">
        <f t="shared" si="14"/>
        <v>Alto</v>
      </c>
      <c r="Z122" s="17" t="str">
        <f t="shared" si="15"/>
        <v>Adulto</v>
      </c>
      <c r="AA122" s="17" t="str">
        <f>IF($AG$10&gt;=Tabela1[[#This Row],[investimento]]&gt;=$AG$11,"OK","Outlier")</f>
        <v>OK</v>
      </c>
      <c r="AB122" s="17" t="str">
        <f>IF($AG$17&gt;=Tabela1[[#This Row],[visitantes]]&gt;=$AG$18,"OK","Outlier")</f>
        <v>OK</v>
      </c>
      <c r="AC122" s="17" t="str">
        <f>IF($AG$24&gt;=Tabela1[[#This Row],[leads_gerados]]&gt;=$AG$25,"OK","Outlier")</f>
        <v>OK</v>
      </c>
      <c r="AD122" s="17" t="str">
        <f>IF($AG$31&gt;=Tabela1[[#This Row],[ltv_estimado]]&gt;=$AG$32,"OK","Outlier")</f>
        <v>OK</v>
      </c>
      <c r="AE122" s="17"/>
    </row>
    <row r="123" spans="1:31" ht="15.75" customHeight="1" x14ac:dyDescent="0.25">
      <c r="A123" s="1" t="s">
        <v>125</v>
      </c>
      <c r="B123" s="2">
        <v>45310</v>
      </c>
      <c r="C123" s="1" t="s">
        <v>57</v>
      </c>
      <c r="D123" s="1" t="s">
        <v>45</v>
      </c>
      <c r="E123" s="1" t="s">
        <v>23</v>
      </c>
      <c r="F123" s="1">
        <v>5147</v>
      </c>
      <c r="G123" s="1">
        <v>1649</v>
      </c>
      <c r="H123" s="1">
        <v>113</v>
      </c>
      <c r="I123" s="1" t="s">
        <v>40</v>
      </c>
      <c r="J123" s="1">
        <v>35</v>
      </c>
      <c r="K123" s="1" t="s">
        <v>25</v>
      </c>
      <c r="L123" s="1">
        <v>0</v>
      </c>
      <c r="M123" s="1">
        <v>0</v>
      </c>
      <c r="N123">
        <v>40</v>
      </c>
      <c r="O123" s="1" t="s">
        <v>42</v>
      </c>
      <c r="P123" s="1" t="s">
        <v>46</v>
      </c>
      <c r="Q123" s="1">
        <v>60</v>
      </c>
      <c r="R123" s="1" t="s">
        <v>37</v>
      </c>
      <c r="S123" s="1">
        <v>1844</v>
      </c>
      <c r="T123" s="5">
        <f>Tabela1[[#This Row],[investimento]]/Tabela1[[#This Row],[leads_gerados]]</f>
        <v>45.548672566371678</v>
      </c>
      <c r="U123" s="5">
        <f>VLOOKUP(Tabela1[[#This Row],[canal_aquisicao]],Tabela2[#All],2,0)</f>
        <v>22207.375</v>
      </c>
      <c r="V123" s="1" t="str">
        <f t="shared" si="12"/>
        <v>Não Qualificado</v>
      </c>
      <c r="W123" s="1" t="str">
        <f>VLOOKUP(C123,Tabela5[#All],2,0)</f>
        <v>Intenção de Compra</v>
      </c>
      <c r="X123" s="14" t="str">
        <f t="shared" si="13"/>
        <v>Médio</v>
      </c>
      <c r="Y123" s="17" t="str">
        <f t="shared" si="14"/>
        <v>Sem Compra</v>
      </c>
      <c r="Z123" s="17" t="str">
        <f t="shared" si="15"/>
        <v>Adulto</v>
      </c>
      <c r="AA123" s="17" t="str">
        <f>IF($AG$10&gt;=Tabela1[[#This Row],[investimento]]&gt;=$AG$11,"OK","Outlier")</f>
        <v>OK</v>
      </c>
      <c r="AB123" s="17" t="str">
        <f>IF($AG$17&gt;=Tabela1[[#This Row],[visitantes]]&gt;=$AG$18,"OK","Outlier")</f>
        <v>OK</v>
      </c>
      <c r="AC123" s="17" t="str">
        <f>IF($AG$24&gt;=Tabela1[[#This Row],[leads_gerados]]&gt;=$AG$25,"OK","Outlier")</f>
        <v>OK</v>
      </c>
      <c r="AD123" s="17" t="str">
        <f>IF($AG$31&gt;=Tabela1[[#This Row],[ltv_estimado]]&gt;=$AG$32,"OK","Outlier")</f>
        <v>OK</v>
      </c>
      <c r="AE123" s="17"/>
    </row>
    <row r="124" spans="1:31" ht="15.75" customHeight="1" x14ac:dyDescent="0.25">
      <c r="A124" s="1" t="s">
        <v>110</v>
      </c>
      <c r="B124" s="2">
        <v>45773</v>
      </c>
      <c r="C124" s="1" t="s">
        <v>21</v>
      </c>
      <c r="D124" s="1" t="s">
        <v>45</v>
      </c>
      <c r="E124" s="1" t="s">
        <v>50</v>
      </c>
      <c r="F124" s="1">
        <v>12886</v>
      </c>
      <c r="G124" s="1">
        <v>1364</v>
      </c>
      <c r="H124" s="1">
        <v>31</v>
      </c>
      <c r="I124" s="1" t="s">
        <v>55</v>
      </c>
      <c r="J124" s="1">
        <v>32</v>
      </c>
      <c r="K124" s="1" t="s">
        <v>25</v>
      </c>
      <c r="L124" s="1">
        <v>0</v>
      </c>
      <c r="M124" s="1">
        <v>0</v>
      </c>
      <c r="N124" s="1">
        <v>54</v>
      </c>
      <c r="O124" s="1" t="s">
        <v>42</v>
      </c>
      <c r="P124" s="1" t="s">
        <v>46</v>
      </c>
      <c r="Q124" s="1">
        <v>82</v>
      </c>
      <c r="R124" s="1" t="s">
        <v>37</v>
      </c>
      <c r="S124" s="1">
        <v>4933</v>
      </c>
      <c r="T124" s="5">
        <f>Tabela1[[#This Row],[investimento]]/Tabela1[[#This Row],[leads_gerados]]</f>
        <v>415.67741935483872</v>
      </c>
      <c r="U124" s="5">
        <f>VLOOKUP(Tabela1[[#This Row],[canal_aquisicao]],Tabela2[#All],2,0)</f>
        <v>18122.25</v>
      </c>
      <c r="V124" s="1" t="str">
        <f t="shared" si="12"/>
        <v>Qualificado</v>
      </c>
      <c r="W124" s="1" t="str">
        <f>VLOOKUP(C124,Tabela5[#All],2,0)</f>
        <v>Intenção de Compra</v>
      </c>
      <c r="X124" s="14" t="str">
        <f t="shared" si="13"/>
        <v>Alto</v>
      </c>
      <c r="Y124" s="17" t="str">
        <f t="shared" si="14"/>
        <v>Sem Compra</v>
      </c>
      <c r="Z124" s="17" t="str">
        <f t="shared" si="15"/>
        <v>Sênior</v>
      </c>
      <c r="AA124" s="17" t="str">
        <f>IF($AG$10&gt;=Tabela1[[#This Row],[investimento]]&gt;=$AG$11,"OK","Outlier")</f>
        <v>OK</v>
      </c>
      <c r="AB124" s="17" t="str">
        <f>IF($AG$17&gt;=Tabela1[[#This Row],[visitantes]]&gt;=$AG$18,"OK","Outlier")</f>
        <v>OK</v>
      </c>
      <c r="AC124" s="17" t="str">
        <f>IF($AG$24&gt;=Tabela1[[#This Row],[leads_gerados]]&gt;=$AG$25,"OK","Outlier")</f>
        <v>OK</v>
      </c>
      <c r="AD124" s="17" t="str">
        <f>IF($AG$31&gt;=Tabela1[[#This Row],[ltv_estimado]]&gt;=$AG$32,"OK","Outlier")</f>
        <v>OK</v>
      </c>
      <c r="AE124" s="17"/>
    </row>
    <row r="125" spans="1:31" ht="15.75" customHeight="1" x14ac:dyDescent="0.25">
      <c r="A125" s="1" t="s">
        <v>102</v>
      </c>
      <c r="B125" s="2">
        <v>45382</v>
      </c>
      <c r="C125" s="1" t="s">
        <v>54</v>
      </c>
      <c r="D125" s="1" t="s">
        <v>45</v>
      </c>
      <c r="E125" s="1" t="s">
        <v>24</v>
      </c>
      <c r="F125" s="1">
        <v>15816</v>
      </c>
      <c r="G125" s="1">
        <v>3467</v>
      </c>
      <c r="H125" s="1">
        <v>137</v>
      </c>
      <c r="I125" s="1" t="s">
        <v>58</v>
      </c>
      <c r="J125" s="1">
        <v>10</v>
      </c>
      <c r="K125" s="1" t="s">
        <v>25</v>
      </c>
      <c r="L125" s="1">
        <v>0</v>
      </c>
      <c r="M125" s="1">
        <v>0</v>
      </c>
      <c r="N125" s="1">
        <v>45</v>
      </c>
      <c r="O125" s="1" t="s">
        <v>26</v>
      </c>
      <c r="P125" s="1" t="s">
        <v>59</v>
      </c>
      <c r="Q125" s="1">
        <v>45</v>
      </c>
      <c r="R125" s="1" t="s">
        <v>37</v>
      </c>
      <c r="S125" s="1">
        <v>1979</v>
      </c>
      <c r="T125" s="5">
        <f>Tabela1[[#This Row],[investimento]]/Tabela1[[#This Row],[leads_gerados]]</f>
        <v>115.44525547445255</v>
      </c>
      <c r="U125" s="5">
        <f>VLOOKUP(Tabela1[[#This Row],[canal_aquisicao]],Tabela2[#All],2,0)</f>
        <v>23467.142857142859</v>
      </c>
      <c r="V125" s="1" t="str">
        <f t="shared" si="12"/>
        <v>Não Qualificado</v>
      </c>
      <c r="W125" s="1" t="str">
        <f>VLOOKUP(C125,Tabela5[#All],2,0)</f>
        <v>Awareness</v>
      </c>
      <c r="X125" s="14" t="str">
        <f t="shared" si="13"/>
        <v>Médio</v>
      </c>
      <c r="Y125" s="17" t="str">
        <f t="shared" si="14"/>
        <v>Sem Compra</v>
      </c>
      <c r="Z125" s="17" t="str">
        <f t="shared" si="15"/>
        <v>Sênior</v>
      </c>
      <c r="AA125" s="17" t="str">
        <f>IF($AG$10&gt;=Tabela1[[#This Row],[investimento]]&gt;=$AG$11,"OK","Outlier")</f>
        <v>OK</v>
      </c>
      <c r="AB125" s="17" t="str">
        <f>IF($AG$17&gt;=Tabela1[[#This Row],[visitantes]]&gt;=$AG$18,"OK","Outlier")</f>
        <v>OK</v>
      </c>
      <c r="AC125" s="17" t="str">
        <f>IF($AG$24&gt;=Tabela1[[#This Row],[leads_gerados]]&gt;=$AG$25,"OK","Outlier")</f>
        <v>OK</v>
      </c>
      <c r="AD125" s="17" t="str">
        <f>IF($AG$31&gt;=Tabela1[[#This Row],[ltv_estimado]]&gt;=$AG$32,"OK","Outlier")</f>
        <v>OK</v>
      </c>
      <c r="AE125" s="17"/>
    </row>
    <row r="126" spans="1:31" ht="15.75" customHeight="1" x14ac:dyDescent="0.25">
      <c r="A126" s="1" t="s">
        <v>94</v>
      </c>
      <c r="B126" s="2">
        <v>45506</v>
      </c>
      <c r="C126" s="1" t="s">
        <v>21</v>
      </c>
      <c r="D126" s="1" t="s">
        <v>45</v>
      </c>
      <c r="E126" s="1" t="s">
        <v>24</v>
      </c>
      <c r="F126" s="1">
        <v>3044</v>
      </c>
      <c r="G126" s="1">
        <v>3126</v>
      </c>
      <c r="H126" s="1">
        <v>166</v>
      </c>
      <c r="I126" s="1" t="s">
        <v>63</v>
      </c>
      <c r="J126" s="1">
        <v>39</v>
      </c>
      <c r="K126" s="1" t="s">
        <v>41</v>
      </c>
      <c r="L126" s="1">
        <v>237</v>
      </c>
      <c r="M126" s="1">
        <v>79</v>
      </c>
      <c r="N126" s="1">
        <v>28</v>
      </c>
      <c r="O126" s="1" t="s">
        <v>42</v>
      </c>
      <c r="P126" s="1" t="s">
        <v>46</v>
      </c>
      <c r="Q126" s="1">
        <v>66</v>
      </c>
      <c r="R126" s="1" t="s">
        <v>47</v>
      </c>
      <c r="S126" s="1">
        <v>5480</v>
      </c>
      <c r="T126" s="5">
        <f>Tabela1[[#This Row],[investimento]]/Tabela1[[#This Row],[leads_gerados]]</f>
        <v>18.337349397590362</v>
      </c>
      <c r="U126" s="5">
        <f>VLOOKUP(Tabela1[[#This Row],[canal_aquisicao]],Tabela2[#All],2,0)</f>
        <v>18122.25</v>
      </c>
      <c r="V126" s="1" t="str">
        <f t="shared" si="12"/>
        <v>Não Qualificado</v>
      </c>
      <c r="W126" s="1" t="str">
        <f>VLOOKUP(C126,Tabela5[#All],2,0)</f>
        <v>Intenção de Compra</v>
      </c>
      <c r="X126" s="14" t="str">
        <f t="shared" si="13"/>
        <v>Médio</v>
      </c>
      <c r="Y126" s="17" t="str">
        <f t="shared" si="14"/>
        <v>Baixo</v>
      </c>
      <c r="Z126" s="17" t="str">
        <f t="shared" si="15"/>
        <v>Adulto</v>
      </c>
      <c r="AA126" s="17" t="str">
        <f>IF($AG$10&gt;=Tabela1[[#This Row],[investimento]]&gt;=$AG$11,"OK","Outlier")</f>
        <v>OK</v>
      </c>
      <c r="AB126" s="17" t="str">
        <f>IF($AG$17&gt;=Tabela1[[#This Row],[visitantes]]&gt;=$AG$18,"OK","Outlier")</f>
        <v>OK</v>
      </c>
      <c r="AC126" s="17" t="str">
        <f>IF($AG$24&gt;=Tabela1[[#This Row],[leads_gerados]]&gt;=$AG$25,"OK","Outlier")</f>
        <v>OK</v>
      </c>
      <c r="AD126" s="17" t="str">
        <f>IF($AG$31&gt;=Tabela1[[#This Row],[ltv_estimado]]&gt;=$AG$32,"OK","Outlier")</f>
        <v>OK</v>
      </c>
      <c r="AE126" s="17"/>
    </row>
    <row r="127" spans="1:31" ht="15.75" customHeight="1" x14ac:dyDescent="0.25">
      <c r="A127" s="1" t="s">
        <v>154</v>
      </c>
      <c r="B127" s="2">
        <v>45310</v>
      </c>
      <c r="C127" s="1" t="s">
        <v>21</v>
      </c>
      <c r="D127" s="1" t="s">
        <v>45</v>
      </c>
      <c r="E127" s="1" t="s">
        <v>33</v>
      </c>
      <c r="F127" s="1">
        <v>2431</v>
      </c>
      <c r="G127" s="1">
        <v>1764</v>
      </c>
      <c r="H127" s="1">
        <v>4</v>
      </c>
      <c r="I127" s="1" t="s">
        <v>24</v>
      </c>
      <c r="J127" s="1">
        <v>20</v>
      </c>
      <c r="K127" s="1" t="s">
        <v>25</v>
      </c>
      <c r="L127" s="1">
        <v>0</v>
      </c>
      <c r="M127" s="1">
        <v>0</v>
      </c>
      <c r="N127" s="1">
        <v>48</v>
      </c>
      <c r="O127" s="1" t="s">
        <v>26</v>
      </c>
      <c r="P127" s="1" t="s">
        <v>46</v>
      </c>
      <c r="Q127" s="1">
        <v>6</v>
      </c>
      <c r="R127" s="1" t="s">
        <v>37</v>
      </c>
      <c r="S127" s="1">
        <v>4188</v>
      </c>
      <c r="T127" s="5">
        <f>Tabela1[[#This Row],[investimento]]/Tabela1[[#This Row],[leads_gerados]]</f>
        <v>607.75</v>
      </c>
      <c r="U127" s="5">
        <f>VLOOKUP(Tabela1[[#This Row],[canal_aquisicao]],Tabela2[#All],2,0)</f>
        <v>18122.25</v>
      </c>
      <c r="V127" s="1" t="str">
        <f t="shared" si="12"/>
        <v>Não Qualificado</v>
      </c>
      <c r="W127" s="1" t="str">
        <f>VLOOKUP(C127,Tabela5[#All],2,0)</f>
        <v>Intenção de Compra</v>
      </c>
      <c r="X127" s="14" t="str">
        <f t="shared" si="13"/>
        <v>Baixo</v>
      </c>
      <c r="Y127" s="17" t="str">
        <f t="shared" si="14"/>
        <v>Sem Compra</v>
      </c>
      <c r="Z127" s="17" t="str">
        <f t="shared" si="15"/>
        <v>Sênior</v>
      </c>
      <c r="AA127" s="17" t="str">
        <f>IF($AG$10&gt;=Tabela1[[#This Row],[investimento]]&gt;=$AG$11,"OK","Outlier")</f>
        <v>OK</v>
      </c>
      <c r="AB127" s="17" t="str">
        <f>IF($AG$17&gt;=Tabela1[[#This Row],[visitantes]]&gt;=$AG$18,"OK","Outlier")</f>
        <v>OK</v>
      </c>
      <c r="AC127" s="17" t="str">
        <f>IF($AG$24&gt;=Tabela1[[#This Row],[leads_gerados]]&gt;=$AG$25,"OK","Outlier")</f>
        <v>OK</v>
      </c>
      <c r="AD127" s="17" t="str">
        <f>IF($AG$31&gt;=Tabela1[[#This Row],[ltv_estimado]]&gt;=$AG$32,"OK","Outlier")</f>
        <v>OK</v>
      </c>
      <c r="AE127" s="17"/>
    </row>
    <row r="128" spans="1:31" ht="15.75" customHeight="1" x14ac:dyDescent="0.25">
      <c r="A128" s="1" t="s">
        <v>116</v>
      </c>
      <c r="B128" s="2">
        <v>45370</v>
      </c>
      <c r="C128" s="1" t="s">
        <v>31</v>
      </c>
      <c r="D128" s="1" t="s">
        <v>45</v>
      </c>
      <c r="E128" s="1" t="s">
        <v>24</v>
      </c>
      <c r="F128" s="1">
        <v>17824</v>
      </c>
      <c r="G128" s="1">
        <v>3156</v>
      </c>
      <c r="H128" s="1">
        <v>276</v>
      </c>
      <c r="I128" s="1" t="s">
        <v>58</v>
      </c>
      <c r="J128" s="1">
        <v>18</v>
      </c>
      <c r="K128" s="1" t="s">
        <v>25</v>
      </c>
      <c r="L128" s="1">
        <v>0</v>
      </c>
      <c r="M128" s="1">
        <v>0</v>
      </c>
      <c r="N128">
        <v>38</v>
      </c>
      <c r="O128" s="1" t="s">
        <v>26</v>
      </c>
      <c r="P128" s="1" t="s">
        <v>59</v>
      </c>
      <c r="Q128" s="1">
        <v>86</v>
      </c>
      <c r="R128" s="1" t="s">
        <v>37</v>
      </c>
      <c r="S128" s="1">
        <v>4902</v>
      </c>
      <c r="T128" s="5">
        <f>Tabela1[[#This Row],[investimento]]/Tabela1[[#This Row],[leads_gerados]]</f>
        <v>64.579710144927532</v>
      </c>
      <c r="U128" s="5">
        <f>VLOOKUP(Tabela1[[#This Row],[canal_aquisicao]],Tabela2[#All],2,0)</f>
        <v>20204</v>
      </c>
      <c r="V128" s="1" t="str">
        <f t="shared" si="12"/>
        <v>Qualificado</v>
      </c>
      <c r="W128" s="1" t="str">
        <f>VLOOKUP(C128,Tabela5[#All],2,0)</f>
        <v>Intenção de Compra</v>
      </c>
      <c r="X128" s="14" t="str">
        <f t="shared" si="13"/>
        <v>Alto</v>
      </c>
      <c r="Y128" s="17" t="str">
        <f t="shared" si="14"/>
        <v>Sem Compra</v>
      </c>
      <c r="Z128" s="17" t="str">
        <f t="shared" si="15"/>
        <v>Adulto</v>
      </c>
      <c r="AA128" s="17" t="str">
        <f>IF($AG$10&gt;=Tabela1[[#This Row],[investimento]]&gt;=$AG$11,"OK","Outlier")</f>
        <v>OK</v>
      </c>
      <c r="AB128" s="17" t="str">
        <f>IF($AG$17&gt;=Tabela1[[#This Row],[visitantes]]&gt;=$AG$18,"OK","Outlier")</f>
        <v>OK</v>
      </c>
      <c r="AC128" s="17" t="str">
        <f>IF($AG$24&gt;=Tabela1[[#This Row],[leads_gerados]]&gt;=$AG$25,"OK","Outlier")</f>
        <v>OK</v>
      </c>
      <c r="AD128" s="17" t="str">
        <f>IF($AG$31&gt;=Tabela1[[#This Row],[ltv_estimado]]&gt;=$AG$32,"OK","Outlier")</f>
        <v>OK</v>
      </c>
      <c r="AE128" s="17"/>
    </row>
    <row r="129" spans="1:31" ht="15.75" customHeight="1" x14ac:dyDescent="0.25">
      <c r="A129" s="1" t="s">
        <v>104</v>
      </c>
      <c r="B129" s="2">
        <v>45475</v>
      </c>
      <c r="C129" s="1" t="s">
        <v>57</v>
      </c>
      <c r="D129" s="1" t="s">
        <v>45</v>
      </c>
      <c r="E129" s="1" t="s">
        <v>33</v>
      </c>
      <c r="F129" s="1">
        <v>8924</v>
      </c>
      <c r="G129" s="1">
        <v>4708</v>
      </c>
      <c r="H129" s="1">
        <v>56</v>
      </c>
      <c r="I129" s="1" t="s">
        <v>63</v>
      </c>
      <c r="J129" s="1">
        <v>28</v>
      </c>
      <c r="K129" s="1" t="s">
        <v>41</v>
      </c>
      <c r="L129" s="1">
        <v>454</v>
      </c>
      <c r="M129" s="1">
        <v>454</v>
      </c>
      <c r="N129">
        <v>40</v>
      </c>
      <c r="O129" s="1" t="s">
        <v>42</v>
      </c>
      <c r="P129" s="1" t="s">
        <v>51</v>
      </c>
      <c r="Q129" s="1">
        <v>92</v>
      </c>
      <c r="R129" s="1" t="s">
        <v>29</v>
      </c>
      <c r="S129" s="1">
        <v>5292</v>
      </c>
      <c r="T129" s="5">
        <f>Tabela1[[#This Row],[investimento]]/Tabela1[[#This Row],[leads_gerados]]</f>
        <v>159.35714285714286</v>
      </c>
      <c r="U129" s="5">
        <f>VLOOKUP(Tabela1[[#This Row],[canal_aquisicao]],Tabela2[#All],2,0)</f>
        <v>22207.375</v>
      </c>
      <c r="V129" s="1" t="str">
        <f t="shared" si="12"/>
        <v>Qualificado</v>
      </c>
      <c r="W129" s="1" t="str">
        <f>VLOOKUP(C129,Tabela5[#All],2,0)</f>
        <v>Intenção de Compra</v>
      </c>
      <c r="X129" s="14" t="str">
        <f t="shared" si="13"/>
        <v>Alto</v>
      </c>
      <c r="Y129" s="17" t="str">
        <f t="shared" si="14"/>
        <v>Alto</v>
      </c>
      <c r="Z129" s="17" t="str">
        <f t="shared" si="15"/>
        <v>Adulto</v>
      </c>
      <c r="AA129" s="17" t="str">
        <f>IF($AG$10&gt;=Tabela1[[#This Row],[investimento]]&gt;=$AG$11,"OK","Outlier")</f>
        <v>OK</v>
      </c>
      <c r="AB129" s="17" t="str">
        <f>IF($AG$17&gt;=Tabela1[[#This Row],[visitantes]]&gt;=$AG$18,"OK","Outlier")</f>
        <v>OK</v>
      </c>
      <c r="AC129" s="17" t="str">
        <f>IF($AG$24&gt;=Tabela1[[#This Row],[leads_gerados]]&gt;=$AG$25,"OK","Outlier")</f>
        <v>OK</v>
      </c>
      <c r="AD129" s="17" t="str">
        <f>IF($AG$31&gt;=Tabela1[[#This Row],[ltv_estimado]]&gt;=$AG$32,"OK","Outlier")</f>
        <v>OK</v>
      </c>
      <c r="AE129" s="17"/>
    </row>
    <row r="130" spans="1:31" ht="15.75" customHeight="1" x14ac:dyDescent="0.25">
      <c r="A130" s="1" t="s">
        <v>30</v>
      </c>
      <c r="B130" s="2">
        <v>45499</v>
      </c>
      <c r="C130" s="1" t="s">
        <v>31</v>
      </c>
      <c r="D130" s="1" t="s">
        <v>32</v>
      </c>
      <c r="E130" s="1" t="s">
        <v>33</v>
      </c>
      <c r="F130" s="1">
        <v>6659</v>
      </c>
      <c r="G130" s="1">
        <v>3315</v>
      </c>
      <c r="H130" s="1">
        <v>211</v>
      </c>
      <c r="I130" s="1" t="s">
        <v>34</v>
      </c>
      <c r="J130" s="1">
        <v>3</v>
      </c>
      <c r="K130" s="1" t="s">
        <v>25</v>
      </c>
      <c r="L130" s="1">
        <v>0</v>
      </c>
      <c r="M130" s="1">
        <v>0</v>
      </c>
      <c r="N130">
        <v>38</v>
      </c>
      <c r="O130" s="1" t="s">
        <v>26</v>
      </c>
      <c r="P130" s="1" t="s">
        <v>35</v>
      </c>
      <c r="Q130" s="1">
        <v>2</v>
      </c>
      <c r="R130" s="1" t="s">
        <v>37</v>
      </c>
      <c r="S130" s="1">
        <v>2742</v>
      </c>
      <c r="T130" s="5">
        <f>Tabela1[[#This Row],[investimento]]/Tabela1[[#This Row],[leads_gerados]]</f>
        <v>31.559241706161139</v>
      </c>
      <c r="U130" s="5">
        <f>VLOOKUP(Tabela1[[#This Row],[canal_aquisicao]],Tabela2[#All],2,0)</f>
        <v>20204</v>
      </c>
      <c r="V130" s="1" t="str">
        <f t="shared" ref="V130:V161" si="16">IF(Q130&gt;=70,"Qualificado","Não Qualificado")</f>
        <v>Não Qualificado</v>
      </c>
      <c r="W130" s="1" t="str">
        <f>VLOOKUP(C130,Tabela5[#All],2,0)</f>
        <v>Intenção de Compra</v>
      </c>
      <c r="X130" s="14" t="str">
        <f t="shared" ref="X130:X161" si="17">IF(Q130&gt;=70, "Alto", IF(Q130&gt;=40, "Médio", "Baixo"))</f>
        <v>Baixo</v>
      </c>
      <c r="Y130" s="17" t="str">
        <f t="shared" ref="Y130:Y161" si="18">IF(M130=0, "Sem Compra", IF(M130&gt;=400, "Alto", IF(M130&gt;=150, "Médio", "Baixo")))</f>
        <v>Sem Compra</v>
      </c>
      <c r="Z130" s="17" t="str">
        <f t="shared" ref="Z130:Z161" si="19">IF(N130&gt;=18,IF(N130&lt;=25,"Jovem",IF(N130&lt;=40,"Adulto","Sênior")),"")</f>
        <v>Adulto</v>
      </c>
      <c r="AA130" s="17" t="str">
        <f>IF($AG$10&gt;=Tabela1[[#This Row],[investimento]]&gt;=$AG$11,"OK","Outlier")</f>
        <v>OK</v>
      </c>
      <c r="AB130" s="17" t="str">
        <f>IF($AG$17&gt;=Tabela1[[#This Row],[visitantes]]&gt;=$AG$18,"OK","Outlier")</f>
        <v>OK</v>
      </c>
      <c r="AC130" s="17" t="str">
        <f>IF($AG$24&gt;=Tabela1[[#This Row],[leads_gerados]]&gt;=$AG$25,"OK","Outlier")</f>
        <v>OK</v>
      </c>
      <c r="AD130" s="17" t="str">
        <f>IF($AG$31&gt;=Tabela1[[#This Row],[ltv_estimado]]&gt;=$AG$32,"OK","Outlier")</f>
        <v>OK</v>
      </c>
      <c r="AE130" s="17"/>
    </row>
    <row r="131" spans="1:31" ht="15.75" customHeight="1" x14ac:dyDescent="0.25">
      <c r="A131" s="1" t="s">
        <v>38</v>
      </c>
      <c r="B131" s="2">
        <v>45654</v>
      </c>
      <c r="C131" s="1" t="s">
        <v>39</v>
      </c>
      <c r="D131" s="1" t="s">
        <v>32</v>
      </c>
      <c r="E131" s="1" t="s">
        <v>23</v>
      </c>
      <c r="F131" s="1">
        <v>7830</v>
      </c>
      <c r="G131" s="1">
        <v>915</v>
      </c>
      <c r="H131" s="1">
        <v>106</v>
      </c>
      <c r="I131" s="1" t="s">
        <v>40</v>
      </c>
      <c r="J131" s="1">
        <v>25</v>
      </c>
      <c r="K131" s="1" t="s">
        <v>41</v>
      </c>
      <c r="L131" s="1">
        <v>731</v>
      </c>
      <c r="M131" s="1">
        <v>731</v>
      </c>
      <c r="N131" s="1">
        <v>48</v>
      </c>
      <c r="O131" s="1" t="s">
        <v>42</v>
      </c>
      <c r="P131" s="1" t="s">
        <v>35</v>
      </c>
      <c r="Q131" s="1">
        <v>64</v>
      </c>
      <c r="R131" s="1" t="s">
        <v>29</v>
      </c>
      <c r="S131" s="1">
        <v>4241</v>
      </c>
      <c r="T131" s="5">
        <f>Tabela1[[#This Row],[investimento]]/Tabela1[[#This Row],[leads_gerados]]</f>
        <v>73.867924528301884</v>
      </c>
      <c r="U131" s="5">
        <f>VLOOKUP(Tabela1[[#This Row],[canal_aquisicao]],Tabela2[#All],2,0)</f>
        <v>23256.714285714286</v>
      </c>
      <c r="V131" s="1" t="str">
        <f t="shared" si="16"/>
        <v>Não Qualificado</v>
      </c>
      <c r="W131" s="1" t="str">
        <f>VLOOKUP(C131,Tabela5[#All],2,0)</f>
        <v>Awareness</v>
      </c>
      <c r="X131" s="14" t="str">
        <f t="shared" si="17"/>
        <v>Médio</v>
      </c>
      <c r="Y131" s="17" t="str">
        <f t="shared" si="18"/>
        <v>Alto</v>
      </c>
      <c r="Z131" s="17" t="str">
        <f t="shared" si="19"/>
        <v>Sênior</v>
      </c>
      <c r="AA131" s="17" t="str">
        <f>IF($AG$10&gt;=Tabela1[[#This Row],[investimento]]&gt;=$AG$11,"OK","Outlier")</f>
        <v>OK</v>
      </c>
      <c r="AB131" s="17" t="str">
        <f>IF($AG$17&gt;=Tabela1[[#This Row],[visitantes]]&gt;=$AG$18,"OK","Outlier")</f>
        <v>OK</v>
      </c>
      <c r="AC131" s="17" t="str">
        <f>IF($AG$24&gt;=Tabela1[[#This Row],[leads_gerados]]&gt;=$AG$25,"OK","Outlier")</f>
        <v>OK</v>
      </c>
      <c r="AD131" s="17" t="str">
        <f>IF($AG$31&gt;=Tabela1[[#This Row],[ltv_estimado]]&gt;=$AG$32,"OK","Outlier")</f>
        <v>OK</v>
      </c>
      <c r="AE131" s="17"/>
    </row>
    <row r="132" spans="1:31" ht="15.75" customHeight="1" x14ac:dyDescent="0.25">
      <c r="A132" s="1" t="s">
        <v>53</v>
      </c>
      <c r="B132" s="2">
        <v>45480</v>
      </c>
      <c r="C132" s="1" t="s">
        <v>54</v>
      </c>
      <c r="D132" s="1" t="s">
        <v>32</v>
      </c>
      <c r="E132" s="1" t="s">
        <v>33</v>
      </c>
      <c r="F132" s="1">
        <v>2997</v>
      </c>
      <c r="G132" s="1">
        <v>4215</v>
      </c>
      <c r="H132" s="1">
        <v>280</v>
      </c>
      <c r="I132" s="1" t="s">
        <v>55</v>
      </c>
      <c r="J132" s="1">
        <v>33</v>
      </c>
      <c r="K132" s="1" t="s">
        <v>25</v>
      </c>
      <c r="L132" s="1">
        <v>0</v>
      </c>
      <c r="M132" s="1">
        <v>0</v>
      </c>
      <c r="N132">
        <v>38</v>
      </c>
      <c r="O132" s="1" t="s">
        <v>26</v>
      </c>
      <c r="P132" s="1" t="s">
        <v>46</v>
      </c>
      <c r="Q132" s="1">
        <v>88</v>
      </c>
      <c r="R132" s="1" t="s">
        <v>47</v>
      </c>
      <c r="S132" s="1">
        <v>4905</v>
      </c>
      <c r="T132" s="5">
        <f>Tabela1[[#This Row],[investimento]]/Tabela1[[#This Row],[leads_gerados]]</f>
        <v>10.703571428571429</v>
      </c>
      <c r="U132" s="5">
        <f>VLOOKUP(Tabela1[[#This Row],[canal_aquisicao]],Tabela2[#All],2,0)</f>
        <v>23467.142857142859</v>
      </c>
      <c r="V132" s="1" t="str">
        <f t="shared" si="16"/>
        <v>Qualificado</v>
      </c>
      <c r="W132" s="1" t="str">
        <f>VLOOKUP(C132,Tabela5[#All],2,0)</f>
        <v>Awareness</v>
      </c>
      <c r="X132" s="14" t="str">
        <f t="shared" si="17"/>
        <v>Alto</v>
      </c>
      <c r="Y132" s="17" t="str">
        <f t="shared" si="18"/>
        <v>Sem Compra</v>
      </c>
      <c r="Z132" s="17" t="str">
        <f t="shared" si="19"/>
        <v>Adulto</v>
      </c>
      <c r="AA132" s="17" t="str">
        <f>IF($AG$10&gt;=Tabela1[[#This Row],[investimento]]&gt;=$AG$11,"OK","Outlier")</f>
        <v>OK</v>
      </c>
      <c r="AB132" s="17" t="str">
        <f>IF($AG$17&gt;=Tabela1[[#This Row],[visitantes]]&gt;=$AG$18,"OK","Outlier")</f>
        <v>OK</v>
      </c>
      <c r="AC132" s="17" t="str">
        <f>IF($AG$24&gt;=Tabela1[[#This Row],[leads_gerados]]&gt;=$AG$25,"OK","Outlier")</f>
        <v>OK</v>
      </c>
      <c r="AD132" s="17" t="str">
        <f>IF($AG$31&gt;=Tabela1[[#This Row],[ltv_estimado]]&gt;=$AG$32,"OK","Outlier")</f>
        <v>OK</v>
      </c>
      <c r="AE132" s="17"/>
    </row>
    <row r="133" spans="1:31" ht="15.75" customHeight="1" x14ac:dyDescent="0.25">
      <c r="A133" s="1" t="s">
        <v>56</v>
      </c>
      <c r="B133" s="2">
        <v>45744</v>
      </c>
      <c r="C133" s="1" t="s">
        <v>57</v>
      </c>
      <c r="D133" s="1" t="s">
        <v>32</v>
      </c>
      <c r="E133" s="1" t="s">
        <v>50</v>
      </c>
      <c r="F133" s="1">
        <v>2486</v>
      </c>
      <c r="G133" s="1">
        <v>1842</v>
      </c>
      <c r="H133" s="1">
        <v>260</v>
      </c>
      <c r="I133" s="1" t="s">
        <v>58</v>
      </c>
      <c r="J133" s="1">
        <v>32</v>
      </c>
      <c r="K133" s="1" t="s">
        <v>41</v>
      </c>
      <c r="L133" s="1">
        <v>746</v>
      </c>
      <c r="M133" s="1">
        <v>746</v>
      </c>
      <c r="N133" s="1">
        <v>40</v>
      </c>
      <c r="O133" s="1" t="s">
        <v>42</v>
      </c>
      <c r="P133" s="1" t="s">
        <v>59</v>
      </c>
      <c r="Q133" s="1">
        <v>33</v>
      </c>
      <c r="R133" s="1" t="s">
        <v>37</v>
      </c>
      <c r="S133" s="1">
        <v>2556</v>
      </c>
      <c r="T133" s="5">
        <f>Tabela1[[#This Row],[investimento]]/Tabela1[[#This Row],[leads_gerados]]</f>
        <v>9.5615384615384613</v>
      </c>
      <c r="U133" s="5">
        <f>VLOOKUP(Tabela1[[#This Row],[canal_aquisicao]],Tabela2[#All],2,0)</f>
        <v>22207.375</v>
      </c>
      <c r="V133" s="1" t="str">
        <f t="shared" si="16"/>
        <v>Não Qualificado</v>
      </c>
      <c r="W133" s="1" t="str">
        <f>VLOOKUP(C133,Tabela5[#All],2,0)</f>
        <v>Intenção de Compra</v>
      </c>
      <c r="X133" s="14" t="str">
        <f t="shared" si="17"/>
        <v>Baixo</v>
      </c>
      <c r="Y133" s="17" t="str">
        <f t="shared" si="18"/>
        <v>Alto</v>
      </c>
      <c r="Z133" s="17" t="str">
        <f t="shared" si="19"/>
        <v>Adulto</v>
      </c>
      <c r="AA133" s="17" t="str">
        <f>IF($AG$10&gt;=Tabela1[[#This Row],[investimento]]&gt;=$AG$11,"OK","Outlier")</f>
        <v>OK</v>
      </c>
      <c r="AB133" s="17" t="str">
        <f>IF($AG$17&gt;=Tabela1[[#This Row],[visitantes]]&gt;=$AG$18,"OK","Outlier")</f>
        <v>OK</v>
      </c>
      <c r="AC133" s="17" t="str">
        <f>IF($AG$24&gt;=Tabela1[[#This Row],[leads_gerados]]&gt;=$AG$25,"OK","Outlier")</f>
        <v>OK</v>
      </c>
      <c r="AD133" s="17" t="str">
        <f>IF($AG$31&gt;=Tabela1[[#This Row],[ltv_estimado]]&gt;=$AG$32,"OK","Outlier")</f>
        <v>OK</v>
      </c>
      <c r="AE133" s="17"/>
    </row>
    <row r="134" spans="1:31" ht="15.75" customHeight="1" x14ac:dyDescent="0.25">
      <c r="A134" s="1" t="s">
        <v>65</v>
      </c>
      <c r="B134" s="2">
        <v>45649</v>
      </c>
      <c r="C134" s="1" t="s">
        <v>31</v>
      </c>
      <c r="D134" s="1" t="s">
        <v>32</v>
      </c>
      <c r="E134" s="1" t="s">
        <v>23</v>
      </c>
      <c r="F134" s="1">
        <v>18165</v>
      </c>
      <c r="G134" s="1">
        <v>2397</v>
      </c>
      <c r="H134" s="1">
        <v>171</v>
      </c>
      <c r="I134" s="1" t="s">
        <v>58</v>
      </c>
      <c r="J134" s="1">
        <v>36</v>
      </c>
      <c r="K134" s="1" t="s">
        <v>25</v>
      </c>
      <c r="L134" s="1">
        <v>0</v>
      </c>
      <c r="M134" s="1">
        <v>0</v>
      </c>
      <c r="N134">
        <v>38</v>
      </c>
      <c r="O134" s="1" t="s">
        <v>26</v>
      </c>
      <c r="P134" s="1" t="s">
        <v>35</v>
      </c>
      <c r="Q134" s="1">
        <v>26</v>
      </c>
      <c r="R134" s="1" t="s">
        <v>37</v>
      </c>
      <c r="S134" s="1">
        <v>1047</v>
      </c>
      <c r="T134" s="5">
        <f>Tabela1[[#This Row],[investimento]]/Tabela1[[#This Row],[leads_gerados]]</f>
        <v>106.2280701754386</v>
      </c>
      <c r="U134" s="5">
        <f>VLOOKUP(Tabela1[[#This Row],[canal_aquisicao]],Tabela2[#All],2,0)</f>
        <v>20204</v>
      </c>
      <c r="V134" s="1" t="str">
        <f t="shared" si="16"/>
        <v>Não Qualificado</v>
      </c>
      <c r="W134" s="1" t="str">
        <f>VLOOKUP(C134,Tabela5[#All],2,0)</f>
        <v>Intenção de Compra</v>
      </c>
      <c r="X134" s="14" t="str">
        <f t="shared" si="17"/>
        <v>Baixo</v>
      </c>
      <c r="Y134" s="17" t="str">
        <f t="shared" si="18"/>
        <v>Sem Compra</v>
      </c>
      <c r="Z134" s="17" t="str">
        <f t="shared" si="19"/>
        <v>Adulto</v>
      </c>
      <c r="AA134" s="17" t="str">
        <f>IF($AG$10&gt;=Tabela1[[#This Row],[investimento]]&gt;=$AG$11,"OK","Outlier")</f>
        <v>OK</v>
      </c>
      <c r="AB134" s="17" t="str">
        <f>IF($AG$17&gt;=Tabela1[[#This Row],[visitantes]]&gt;=$AG$18,"OK","Outlier")</f>
        <v>OK</v>
      </c>
      <c r="AC134" s="17" t="str">
        <f>IF($AG$24&gt;=Tabela1[[#This Row],[leads_gerados]]&gt;=$AG$25,"OK","Outlier")</f>
        <v>OK</v>
      </c>
      <c r="AD134" s="17" t="str">
        <f>IF($AG$31&gt;=Tabela1[[#This Row],[ltv_estimado]]&gt;=$AG$32,"OK","Outlier")</f>
        <v>OK</v>
      </c>
      <c r="AE134" s="17"/>
    </row>
    <row r="135" spans="1:31" ht="15.75" customHeight="1" x14ac:dyDescent="0.25">
      <c r="A135" s="1" t="s">
        <v>66</v>
      </c>
      <c r="B135" s="2">
        <v>45771</v>
      </c>
      <c r="C135" s="1" t="s">
        <v>54</v>
      </c>
      <c r="D135" s="1" t="s">
        <v>32</v>
      </c>
      <c r="E135" s="1" t="s">
        <v>24</v>
      </c>
      <c r="F135" s="1">
        <v>18151</v>
      </c>
      <c r="G135" s="1">
        <v>4790</v>
      </c>
      <c r="H135" s="1">
        <v>79</v>
      </c>
      <c r="I135" s="1" t="s">
        <v>63</v>
      </c>
      <c r="J135" s="1">
        <v>36</v>
      </c>
      <c r="K135" s="1" t="s">
        <v>41</v>
      </c>
      <c r="L135" s="1">
        <v>504</v>
      </c>
      <c r="M135" s="1">
        <v>168</v>
      </c>
      <c r="N135">
        <v>40</v>
      </c>
      <c r="O135" s="1" t="s">
        <v>42</v>
      </c>
      <c r="P135" s="1" t="s">
        <v>35</v>
      </c>
      <c r="Q135" s="1">
        <v>2</v>
      </c>
      <c r="R135" s="1" t="s">
        <v>37</v>
      </c>
      <c r="S135" s="1">
        <v>1537</v>
      </c>
      <c r="T135" s="5">
        <f>Tabela1[[#This Row],[investimento]]/Tabela1[[#This Row],[leads_gerados]]</f>
        <v>229.75949367088609</v>
      </c>
      <c r="U135" s="5">
        <f>VLOOKUP(Tabela1[[#This Row],[canal_aquisicao]],Tabela2[#All],2,0)</f>
        <v>23467.142857142859</v>
      </c>
      <c r="V135" s="1" t="str">
        <f t="shared" si="16"/>
        <v>Não Qualificado</v>
      </c>
      <c r="W135" s="1" t="str">
        <f>VLOOKUP(C135,Tabela5[#All],2,0)</f>
        <v>Awareness</v>
      </c>
      <c r="X135" s="14" t="str">
        <f t="shared" si="17"/>
        <v>Baixo</v>
      </c>
      <c r="Y135" s="17" t="str">
        <f t="shared" si="18"/>
        <v>Médio</v>
      </c>
      <c r="Z135" s="17" t="str">
        <f t="shared" si="19"/>
        <v>Adulto</v>
      </c>
      <c r="AA135" s="17" t="str">
        <f>IF($AG$10&gt;=Tabela1[[#This Row],[investimento]]&gt;=$AG$11,"OK","Outlier")</f>
        <v>OK</v>
      </c>
      <c r="AB135" s="17" t="str">
        <f>IF($AG$17&gt;=Tabela1[[#This Row],[visitantes]]&gt;=$AG$18,"OK","Outlier")</f>
        <v>OK</v>
      </c>
      <c r="AC135" s="17" t="str">
        <f>IF($AG$24&gt;=Tabela1[[#This Row],[leads_gerados]]&gt;=$AG$25,"OK","Outlier")</f>
        <v>OK</v>
      </c>
      <c r="AD135" s="17" t="str">
        <f>IF($AG$31&gt;=Tabela1[[#This Row],[ltv_estimado]]&gt;=$AG$32,"OK","Outlier")</f>
        <v>OK</v>
      </c>
      <c r="AE135" s="17"/>
    </row>
    <row r="136" spans="1:31" ht="15.75" customHeight="1" x14ac:dyDescent="0.25">
      <c r="A136" s="1" t="s">
        <v>68</v>
      </c>
      <c r="B136" s="2">
        <v>45526</v>
      </c>
      <c r="C136" s="1" t="s">
        <v>39</v>
      </c>
      <c r="D136" s="1" t="s">
        <v>32</v>
      </c>
      <c r="E136" s="1" t="s">
        <v>23</v>
      </c>
      <c r="F136" s="1">
        <v>13512</v>
      </c>
      <c r="G136" s="1">
        <v>4771</v>
      </c>
      <c r="H136" s="1">
        <v>229</v>
      </c>
      <c r="I136" s="1" t="s">
        <v>63</v>
      </c>
      <c r="J136" s="1">
        <v>12</v>
      </c>
      <c r="K136" s="1" t="s">
        <v>41</v>
      </c>
      <c r="L136" s="1">
        <v>642</v>
      </c>
      <c r="M136" s="1">
        <v>214</v>
      </c>
      <c r="N136">
        <v>40</v>
      </c>
      <c r="O136" s="1" t="s">
        <v>42</v>
      </c>
      <c r="P136" s="1" t="s">
        <v>51</v>
      </c>
      <c r="Q136" s="1">
        <v>16</v>
      </c>
      <c r="R136" s="1" t="s">
        <v>37</v>
      </c>
      <c r="S136" s="1">
        <v>1692</v>
      </c>
      <c r="T136" s="5">
        <f>Tabela1[[#This Row],[investimento]]/Tabela1[[#This Row],[leads_gerados]]</f>
        <v>59.004366812227076</v>
      </c>
      <c r="U136" s="5">
        <f>VLOOKUP(Tabela1[[#This Row],[canal_aquisicao]],Tabela2[#All],2,0)</f>
        <v>23256.714285714286</v>
      </c>
      <c r="V136" s="1" t="str">
        <f t="shared" si="16"/>
        <v>Não Qualificado</v>
      </c>
      <c r="W136" s="1" t="str">
        <f>VLOOKUP(C136,Tabela5[#All],2,0)</f>
        <v>Awareness</v>
      </c>
      <c r="X136" s="14" t="str">
        <f t="shared" si="17"/>
        <v>Baixo</v>
      </c>
      <c r="Y136" s="17" t="str">
        <f t="shared" si="18"/>
        <v>Médio</v>
      </c>
      <c r="Z136" s="17" t="str">
        <f t="shared" si="19"/>
        <v>Adulto</v>
      </c>
      <c r="AA136" s="17" t="str">
        <f>IF($AG$10&gt;=Tabela1[[#This Row],[investimento]]&gt;=$AG$11,"OK","Outlier")</f>
        <v>OK</v>
      </c>
      <c r="AB136" s="17" t="str">
        <f>IF($AG$17&gt;=Tabela1[[#This Row],[visitantes]]&gt;=$AG$18,"OK","Outlier")</f>
        <v>OK</v>
      </c>
      <c r="AC136" s="17" t="str">
        <f>IF($AG$24&gt;=Tabela1[[#This Row],[leads_gerados]]&gt;=$AG$25,"OK","Outlier")</f>
        <v>OK</v>
      </c>
      <c r="AD136" s="17" t="str">
        <f>IF($AG$31&gt;=Tabela1[[#This Row],[ltv_estimado]]&gt;=$AG$32,"OK","Outlier")</f>
        <v>OK</v>
      </c>
      <c r="AE136" s="17"/>
    </row>
    <row r="137" spans="1:31" ht="15.75" customHeight="1" x14ac:dyDescent="0.25">
      <c r="A137" s="1" t="s">
        <v>70</v>
      </c>
      <c r="B137" s="2">
        <v>45403</v>
      </c>
      <c r="C137" s="1" t="s">
        <v>57</v>
      </c>
      <c r="D137" s="1" t="s">
        <v>32</v>
      </c>
      <c r="E137" s="1" t="s">
        <v>23</v>
      </c>
      <c r="F137" s="1">
        <v>14404</v>
      </c>
      <c r="G137" s="1">
        <v>1713</v>
      </c>
      <c r="H137" s="1">
        <v>75</v>
      </c>
      <c r="I137" s="1" t="s">
        <v>40</v>
      </c>
      <c r="J137" s="1">
        <v>26</v>
      </c>
      <c r="K137" s="1" t="s">
        <v>25</v>
      </c>
      <c r="L137" s="1">
        <v>0</v>
      </c>
      <c r="M137" s="1">
        <v>0</v>
      </c>
      <c r="N137">
        <v>40</v>
      </c>
      <c r="O137" s="1" t="s">
        <v>42</v>
      </c>
      <c r="P137" s="1" t="s">
        <v>51</v>
      </c>
      <c r="Q137" s="1">
        <v>5</v>
      </c>
      <c r="R137" s="1" t="s">
        <v>37</v>
      </c>
      <c r="S137" s="1">
        <v>5214</v>
      </c>
      <c r="T137" s="5">
        <f>Tabela1[[#This Row],[investimento]]/Tabela1[[#This Row],[leads_gerados]]</f>
        <v>192.05333333333334</v>
      </c>
      <c r="U137" s="5">
        <f>VLOOKUP(Tabela1[[#This Row],[canal_aquisicao]],Tabela2[#All],2,0)</f>
        <v>22207.375</v>
      </c>
      <c r="V137" s="1" t="str">
        <f t="shared" si="16"/>
        <v>Não Qualificado</v>
      </c>
      <c r="W137" s="1" t="str">
        <f>VLOOKUP(C137,Tabela5[#All],2,0)</f>
        <v>Intenção de Compra</v>
      </c>
      <c r="X137" s="14" t="str">
        <f t="shared" si="17"/>
        <v>Baixo</v>
      </c>
      <c r="Y137" s="17" t="str">
        <f t="shared" si="18"/>
        <v>Sem Compra</v>
      </c>
      <c r="Z137" s="17" t="str">
        <f t="shared" si="19"/>
        <v>Adulto</v>
      </c>
      <c r="AA137" s="17" t="str">
        <f>IF($AG$10&gt;=Tabela1[[#This Row],[investimento]]&gt;=$AG$11,"OK","Outlier")</f>
        <v>OK</v>
      </c>
      <c r="AB137" s="17" t="str">
        <f>IF($AG$17&gt;=Tabela1[[#This Row],[visitantes]]&gt;=$AG$18,"OK","Outlier")</f>
        <v>OK</v>
      </c>
      <c r="AC137" s="17" t="str">
        <f>IF($AG$24&gt;=Tabela1[[#This Row],[leads_gerados]]&gt;=$AG$25,"OK","Outlier")</f>
        <v>OK</v>
      </c>
      <c r="AD137" s="17" t="str">
        <f>IF($AG$31&gt;=Tabela1[[#This Row],[ltv_estimado]]&gt;=$AG$32,"OK","Outlier")</f>
        <v>OK</v>
      </c>
      <c r="AE137" s="17"/>
    </row>
    <row r="138" spans="1:31" ht="15.75" customHeight="1" x14ac:dyDescent="0.25">
      <c r="A138" s="1" t="s">
        <v>73</v>
      </c>
      <c r="B138" s="2">
        <v>45301</v>
      </c>
      <c r="C138" s="1" t="s">
        <v>54</v>
      </c>
      <c r="D138" s="1" t="s">
        <v>32</v>
      </c>
      <c r="E138" s="1" t="s">
        <v>23</v>
      </c>
      <c r="F138" s="1">
        <v>2176</v>
      </c>
      <c r="G138" s="1">
        <v>2781</v>
      </c>
      <c r="H138" s="1">
        <v>236</v>
      </c>
      <c r="I138" s="1" t="s">
        <v>55</v>
      </c>
      <c r="J138" s="1">
        <v>10</v>
      </c>
      <c r="K138" s="1" t="s">
        <v>25</v>
      </c>
      <c r="L138" s="1">
        <v>0</v>
      </c>
      <c r="M138" s="1">
        <v>0</v>
      </c>
      <c r="N138">
        <v>38</v>
      </c>
      <c r="O138" s="1" t="s">
        <v>26</v>
      </c>
      <c r="P138" s="1" t="s">
        <v>51</v>
      </c>
      <c r="Q138" s="1">
        <v>71</v>
      </c>
      <c r="R138" s="1" t="s">
        <v>29</v>
      </c>
      <c r="S138" s="1">
        <v>2547</v>
      </c>
      <c r="T138" s="5">
        <f>Tabela1[[#This Row],[investimento]]/Tabela1[[#This Row],[leads_gerados]]</f>
        <v>9.2203389830508478</v>
      </c>
      <c r="U138" s="5">
        <f>VLOOKUP(Tabela1[[#This Row],[canal_aquisicao]],Tabela2[#All],2,0)</f>
        <v>23467.142857142859</v>
      </c>
      <c r="V138" s="1" t="str">
        <f t="shared" si="16"/>
        <v>Qualificado</v>
      </c>
      <c r="W138" s="1" t="str">
        <f>VLOOKUP(C138,Tabela5[#All],2,0)</f>
        <v>Awareness</v>
      </c>
      <c r="X138" s="14" t="str">
        <f t="shared" si="17"/>
        <v>Alto</v>
      </c>
      <c r="Y138" s="17" t="str">
        <f t="shared" si="18"/>
        <v>Sem Compra</v>
      </c>
      <c r="Z138" s="17" t="str">
        <f t="shared" si="19"/>
        <v>Adulto</v>
      </c>
      <c r="AA138" s="17" t="str">
        <f>IF($AG$10&gt;=Tabela1[[#This Row],[investimento]]&gt;=$AG$11,"OK","Outlier")</f>
        <v>OK</v>
      </c>
      <c r="AB138" s="17" t="str">
        <f>IF($AG$17&gt;=Tabela1[[#This Row],[visitantes]]&gt;=$AG$18,"OK","Outlier")</f>
        <v>OK</v>
      </c>
      <c r="AC138" s="17" t="str">
        <f>IF($AG$24&gt;=Tabela1[[#This Row],[leads_gerados]]&gt;=$AG$25,"OK","Outlier")</f>
        <v>OK</v>
      </c>
      <c r="AD138" s="17" t="str">
        <f>IF($AG$31&gt;=Tabela1[[#This Row],[ltv_estimado]]&gt;=$AG$32,"OK","Outlier")</f>
        <v>OK</v>
      </c>
      <c r="AE138" s="17"/>
    </row>
    <row r="139" spans="1:31" ht="15.75" customHeight="1" x14ac:dyDescent="0.25">
      <c r="A139" s="1" t="s">
        <v>76</v>
      </c>
      <c r="B139" s="2">
        <v>45604</v>
      </c>
      <c r="C139" s="1" t="s">
        <v>31</v>
      </c>
      <c r="D139" s="1" t="s">
        <v>32</v>
      </c>
      <c r="E139" s="1" t="s">
        <v>24</v>
      </c>
      <c r="F139" s="1">
        <v>4724</v>
      </c>
      <c r="G139" s="1">
        <v>1600</v>
      </c>
      <c r="H139" s="1">
        <v>16</v>
      </c>
      <c r="I139" s="1" t="s">
        <v>24</v>
      </c>
      <c r="J139" s="1">
        <v>6</v>
      </c>
      <c r="K139" s="1" t="s">
        <v>25</v>
      </c>
      <c r="L139" s="1">
        <v>0</v>
      </c>
      <c r="M139" s="1">
        <v>0</v>
      </c>
      <c r="N139">
        <v>40</v>
      </c>
      <c r="O139" s="1" t="s">
        <v>42</v>
      </c>
      <c r="P139" s="1" t="s">
        <v>35</v>
      </c>
      <c r="Q139" s="1">
        <v>25</v>
      </c>
      <c r="R139" s="1" t="s">
        <v>29</v>
      </c>
      <c r="S139" s="1">
        <v>5304</v>
      </c>
      <c r="T139" s="5">
        <f>Tabela1[[#This Row],[investimento]]/Tabela1[[#This Row],[leads_gerados]]</f>
        <v>295.25</v>
      </c>
      <c r="U139" s="5">
        <f>VLOOKUP(Tabela1[[#This Row],[canal_aquisicao]],Tabela2[#All],2,0)</f>
        <v>20204</v>
      </c>
      <c r="V139" s="1" t="str">
        <f t="shared" si="16"/>
        <v>Não Qualificado</v>
      </c>
      <c r="W139" s="1" t="str">
        <f>VLOOKUP(C139,Tabela5[#All],2,0)</f>
        <v>Intenção de Compra</v>
      </c>
      <c r="X139" s="14" t="str">
        <f t="shared" si="17"/>
        <v>Baixo</v>
      </c>
      <c r="Y139" s="17" t="str">
        <f t="shared" si="18"/>
        <v>Sem Compra</v>
      </c>
      <c r="Z139" s="17" t="str">
        <f t="shared" si="19"/>
        <v>Adulto</v>
      </c>
      <c r="AA139" s="17" t="str">
        <f>IF($AG$10&gt;=Tabela1[[#This Row],[investimento]]&gt;=$AG$11,"OK","Outlier")</f>
        <v>OK</v>
      </c>
      <c r="AB139" s="17" t="str">
        <f>IF($AG$17&gt;=Tabela1[[#This Row],[visitantes]]&gt;=$AG$18,"OK","Outlier")</f>
        <v>OK</v>
      </c>
      <c r="AC139" s="17" t="str">
        <f>IF($AG$24&gt;=Tabela1[[#This Row],[leads_gerados]]&gt;=$AG$25,"OK","Outlier")</f>
        <v>OK</v>
      </c>
      <c r="AD139" s="17" t="str">
        <f>IF($AG$31&gt;=Tabela1[[#This Row],[ltv_estimado]]&gt;=$AG$32,"OK","Outlier")</f>
        <v>OK</v>
      </c>
      <c r="AE139" s="17"/>
    </row>
    <row r="140" spans="1:31" ht="15.75" customHeight="1" x14ac:dyDescent="0.25">
      <c r="A140" s="1" t="s">
        <v>81</v>
      </c>
      <c r="B140" s="2">
        <v>45292</v>
      </c>
      <c r="C140" s="1" t="s">
        <v>54</v>
      </c>
      <c r="D140" s="1" t="s">
        <v>32</v>
      </c>
      <c r="E140" s="1" t="s">
        <v>23</v>
      </c>
      <c r="F140" s="1">
        <v>12882</v>
      </c>
      <c r="G140" s="1">
        <v>3284</v>
      </c>
      <c r="H140" s="1">
        <v>266</v>
      </c>
      <c r="I140" s="1" t="s">
        <v>24</v>
      </c>
      <c r="J140" s="1">
        <v>4</v>
      </c>
      <c r="K140" s="1" t="s">
        <v>41</v>
      </c>
      <c r="L140" s="1">
        <v>857</v>
      </c>
      <c r="M140" s="1">
        <v>428.5</v>
      </c>
      <c r="N140" s="1">
        <v>55</v>
      </c>
      <c r="O140" s="1" t="s">
        <v>26</v>
      </c>
      <c r="P140" s="1" t="s">
        <v>51</v>
      </c>
      <c r="Q140" s="1">
        <v>41</v>
      </c>
      <c r="R140" s="1" t="s">
        <v>37</v>
      </c>
      <c r="S140" s="1">
        <v>4451</v>
      </c>
      <c r="T140" s="5">
        <f>Tabela1[[#This Row],[investimento]]/Tabela1[[#This Row],[leads_gerados]]</f>
        <v>48.428571428571431</v>
      </c>
      <c r="U140" s="5">
        <f>VLOOKUP(Tabela1[[#This Row],[canal_aquisicao]],Tabela2[#All],2,0)</f>
        <v>23467.142857142859</v>
      </c>
      <c r="V140" s="1" t="str">
        <f t="shared" si="16"/>
        <v>Não Qualificado</v>
      </c>
      <c r="W140" s="1" t="str">
        <f>VLOOKUP(C140,Tabela5[#All],2,0)</f>
        <v>Awareness</v>
      </c>
      <c r="X140" s="14" t="str">
        <f t="shared" si="17"/>
        <v>Médio</v>
      </c>
      <c r="Y140" s="17" t="str">
        <f t="shared" si="18"/>
        <v>Alto</v>
      </c>
      <c r="Z140" s="17" t="str">
        <f t="shared" si="19"/>
        <v>Sênior</v>
      </c>
      <c r="AA140" s="17" t="str">
        <f>IF($AG$10&gt;=Tabela1[[#This Row],[investimento]]&gt;=$AG$11,"OK","Outlier")</f>
        <v>OK</v>
      </c>
      <c r="AB140" s="17" t="str">
        <f>IF($AG$17&gt;=Tabela1[[#This Row],[visitantes]]&gt;=$AG$18,"OK","Outlier")</f>
        <v>OK</v>
      </c>
      <c r="AC140" s="17" t="str">
        <f>IF($AG$24&gt;=Tabela1[[#This Row],[leads_gerados]]&gt;=$AG$25,"OK","Outlier")</f>
        <v>OK</v>
      </c>
      <c r="AD140" s="17" t="str">
        <f>IF($AG$31&gt;=Tabela1[[#This Row],[ltv_estimado]]&gt;=$AG$32,"OK","Outlier")</f>
        <v>OK</v>
      </c>
      <c r="AE140" s="17"/>
    </row>
    <row r="141" spans="1:31" ht="15.75" customHeight="1" x14ac:dyDescent="0.25">
      <c r="A141" s="1" t="s">
        <v>88</v>
      </c>
      <c r="B141" s="2">
        <v>45365</v>
      </c>
      <c r="C141" s="1" t="s">
        <v>21</v>
      </c>
      <c r="D141" s="1" t="s">
        <v>32</v>
      </c>
      <c r="E141" s="1" t="s">
        <v>50</v>
      </c>
      <c r="F141" s="1">
        <v>7418</v>
      </c>
      <c r="G141" s="1">
        <v>1495</v>
      </c>
      <c r="H141" s="1">
        <v>48</v>
      </c>
      <c r="I141" s="1" t="s">
        <v>58</v>
      </c>
      <c r="J141" s="1">
        <v>8</v>
      </c>
      <c r="K141" s="1" t="s">
        <v>25</v>
      </c>
      <c r="L141" s="1">
        <v>0</v>
      </c>
      <c r="M141" s="1">
        <v>0</v>
      </c>
      <c r="N141">
        <v>38</v>
      </c>
      <c r="O141" s="1" t="s">
        <v>26</v>
      </c>
      <c r="P141" s="1" t="s">
        <v>46</v>
      </c>
      <c r="Q141" s="1">
        <v>59</v>
      </c>
      <c r="R141" s="1" t="s">
        <v>29</v>
      </c>
      <c r="S141" s="1">
        <v>2314</v>
      </c>
      <c r="T141" s="5">
        <f>Tabela1[[#This Row],[investimento]]/Tabela1[[#This Row],[leads_gerados]]</f>
        <v>154.54166666666666</v>
      </c>
      <c r="U141" s="5">
        <f>VLOOKUP(Tabela1[[#This Row],[canal_aquisicao]],Tabela2[#All],2,0)</f>
        <v>18122.25</v>
      </c>
      <c r="V141" s="1" t="str">
        <f t="shared" si="16"/>
        <v>Não Qualificado</v>
      </c>
      <c r="W141" s="1" t="str">
        <f>VLOOKUP(C141,Tabela5[#All],2,0)</f>
        <v>Intenção de Compra</v>
      </c>
      <c r="X141" s="14" t="str">
        <f t="shared" si="17"/>
        <v>Médio</v>
      </c>
      <c r="Y141" s="17" t="str">
        <f t="shared" si="18"/>
        <v>Sem Compra</v>
      </c>
      <c r="Z141" s="17" t="str">
        <f t="shared" si="19"/>
        <v>Adulto</v>
      </c>
      <c r="AA141" s="17" t="str">
        <f>IF($AG$10&gt;=Tabela1[[#This Row],[investimento]]&gt;=$AG$11,"OK","Outlier")</f>
        <v>OK</v>
      </c>
      <c r="AB141" s="17" t="str">
        <f>IF($AG$17&gt;=Tabela1[[#This Row],[visitantes]]&gt;=$AG$18,"OK","Outlier")</f>
        <v>OK</v>
      </c>
      <c r="AC141" s="17" t="str">
        <f>IF($AG$24&gt;=Tabela1[[#This Row],[leads_gerados]]&gt;=$AG$25,"OK","Outlier")</f>
        <v>OK</v>
      </c>
      <c r="AD141" s="17" t="str">
        <f>IF($AG$31&gt;=Tabela1[[#This Row],[ltv_estimado]]&gt;=$AG$32,"OK","Outlier")</f>
        <v>OK</v>
      </c>
      <c r="AE141" s="17"/>
    </row>
    <row r="142" spans="1:31" ht="15.75" customHeight="1" x14ac:dyDescent="0.25">
      <c r="A142" s="1" t="s">
        <v>89</v>
      </c>
      <c r="B142" s="2">
        <v>45395</v>
      </c>
      <c r="C142" s="1" t="s">
        <v>57</v>
      </c>
      <c r="D142" s="1" t="s">
        <v>32</v>
      </c>
      <c r="E142" s="1" t="s">
        <v>23</v>
      </c>
      <c r="F142" s="1">
        <v>14875</v>
      </c>
      <c r="G142" s="1">
        <v>1956</v>
      </c>
      <c r="H142" s="1">
        <v>157</v>
      </c>
      <c r="I142" s="1" t="s">
        <v>55</v>
      </c>
      <c r="J142" s="1">
        <v>13</v>
      </c>
      <c r="K142" s="1" t="s">
        <v>25</v>
      </c>
      <c r="L142" s="1">
        <v>0</v>
      </c>
      <c r="M142" s="1">
        <v>0</v>
      </c>
      <c r="N142" s="1">
        <v>54</v>
      </c>
      <c r="O142" s="1" t="s">
        <v>26</v>
      </c>
      <c r="P142" s="1" t="s">
        <v>59</v>
      </c>
      <c r="Q142" s="1">
        <v>13</v>
      </c>
      <c r="R142" s="1" t="s">
        <v>37</v>
      </c>
      <c r="S142" s="1">
        <v>3253</v>
      </c>
      <c r="T142" s="5">
        <f>Tabela1[[#This Row],[investimento]]/Tabela1[[#This Row],[leads_gerados]]</f>
        <v>94.745222929936304</v>
      </c>
      <c r="U142" s="5">
        <f>VLOOKUP(Tabela1[[#This Row],[canal_aquisicao]],Tabela2[#All],2,0)</f>
        <v>22207.375</v>
      </c>
      <c r="V142" s="1" t="str">
        <f t="shared" si="16"/>
        <v>Não Qualificado</v>
      </c>
      <c r="W142" s="1" t="str">
        <f>VLOOKUP(C142,Tabela5[#All],2,0)</f>
        <v>Intenção de Compra</v>
      </c>
      <c r="X142" s="14" t="str">
        <f t="shared" si="17"/>
        <v>Baixo</v>
      </c>
      <c r="Y142" s="17" t="str">
        <f t="shared" si="18"/>
        <v>Sem Compra</v>
      </c>
      <c r="Z142" s="17" t="str">
        <f t="shared" si="19"/>
        <v>Sênior</v>
      </c>
      <c r="AA142" s="17" t="str">
        <f>IF($AG$10&gt;=Tabela1[[#This Row],[investimento]]&gt;=$AG$11,"OK","Outlier")</f>
        <v>OK</v>
      </c>
      <c r="AB142" s="17" t="str">
        <f>IF($AG$17&gt;=Tabela1[[#This Row],[visitantes]]&gt;=$AG$18,"OK","Outlier")</f>
        <v>OK</v>
      </c>
      <c r="AC142" s="17" t="str">
        <f>IF($AG$24&gt;=Tabela1[[#This Row],[leads_gerados]]&gt;=$AG$25,"OK","Outlier")</f>
        <v>OK</v>
      </c>
      <c r="AD142" s="17" t="str">
        <f>IF($AG$31&gt;=Tabela1[[#This Row],[ltv_estimado]]&gt;=$AG$32,"OK","Outlier")</f>
        <v>OK</v>
      </c>
      <c r="AE142" s="17"/>
    </row>
    <row r="143" spans="1:31" ht="15.75" customHeight="1" x14ac:dyDescent="0.25">
      <c r="A143" s="1" t="s">
        <v>91</v>
      </c>
      <c r="B143" s="2">
        <v>45639</v>
      </c>
      <c r="C143" s="1" t="s">
        <v>39</v>
      </c>
      <c r="D143" s="1" t="s">
        <v>32</v>
      </c>
      <c r="E143" s="1" t="s">
        <v>24</v>
      </c>
      <c r="F143" s="1">
        <v>1060</v>
      </c>
      <c r="G143" s="1">
        <v>2794</v>
      </c>
      <c r="H143" s="1">
        <v>180</v>
      </c>
      <c r="I143" s="1" t="s">
        <v>40</v>
      </c>
      <c r="J143" s="1">
        <v>21</v>
      </c>
      <c r="K143" s="1" t="s">
        <v>25</v>
      </c>
      <c r="L143" s="1">
        <v>0</v>
      </c>
      <c r="M143" s="1">
        <v>0</v>
      </c>
      <c r="N143" s="1">
        <v>62</v>
      </c>
      <c r="O143" s="1" t="s">
        <v>42</v>
      </c>
      <c r="P143" s="1" t="s">
        <v>59</v>
      </c>
      <c r="Q143" s="1">
        <v>66</v>
      </c>
      <c r="R143" s="1" t="s">
        <v>37</v>
      </c>
      <c r="S143" s="1">
        <v>5256</v>
      </c>
      <c r="T143" s="5">
        <f>Tabela1[[#This Row],[investimento]]/Tabela1[[#This Row],[leads_gerados]]</f>
        <v>5.8888888888888893</v>
      </c>
      <c r="U143" s="5">
        <f>VLOOKUP(Tabela1[[#This Row],[canal_aquisicao]],Tabela2[#All],2,0)</f>
        <v>23256.714285714286</v>
      </c>
      <c r="V143" s="1" t="str">
        <f t="shared" si="16"/>
        <v>Não Qualificado</v>
      </c>
      <c r="W143" s="1" t="str">
        <f>VLOOKUP(C143,Tabela5[#All],2,0)</f>
        <v>Awareness</v>
      </c>
      <c r="X143" s="14" t="str">
        <f t="shared" si="17"/>
        <v>Médio</v>
      </c>
      <c r="Y143" s="17" t="str">
        <f t="shared" si="18"/>
        <v>Sem Compra</v>
      </c>
      <c r="Z143" s="17" t="str">
        <f t="shared" si="19"/>
        <v>Sênior</v>
      </c>
      <c r="AA143" s="17" t="str">
        <f>IF($AG$10&gt;=Tabela1[[#This Row],[investimento]]&gt;=$AG$11,"OK","Outlier")</f>
        <v>OK</v>
      </c>
      <c r="AB143" s="17" t="str">
        <f>IF($AG$17&gt;=Tabela1[[#This Row],[visitantes]]&gt;=$AG$18,"OK","Outlier")</f>
        <v>OK</v>
      </c>
      <c r="AC143" s="17" t="str">
        <f>IF($AG$24&gt;=Tabela1[[#This Row],[leads_gerados]]&gt;=$AG$25,"OK","Outlier")</f>
        <v>OK</v>
      </c>
      <c r="AD143" s="17" t="str">
        <f>IF($AG$31&gt;=Tabela1[[#This Row],[ltv_estimado]]&gt;=$AG$32,"OK","Outlier")</f>
        <v>OK</v>
      </c>
      <c r="AE143" s="17"/>
    </row>
    <row r="144" spans="1:31" ht="15.75" customHeight="1" x14ac:dyDescent="0.25">
      <c r="A144" s="1" t="s">
        <v>79</v>
      </c>
      <c r="B144" s="2">
        <v>45636</v>
      </c>
      <c r="C144" s="1" t="s">
        <v>21</v>
      </c>
      <c r="D144" s="1" t="s">
        <v>32</v>
      </c>
      <c r="E144" s="1" t="s">
        <v>33</v>
      </c>
      <c r="F144" s="1">
        <v>12755</v>
      </c>
      <c r="G144" s="1">
        <v>4271</v>
      </c>
      <c r="H144" s="1">
        <v>189</v>
      </c>
      <c r="I144" s="1" t="s">
        <v>40</v>
      </c>
      <c r="J144" s="1">
        <v>16</v>
      </c>
      <c r="K144" s="1" t="s">
        <v>41</v>
      </c>
      <c r="L144" s="1">
        <v>199</v>
      </c>
      <c r="M144" s="1">
        <v>99.5</v>
      </c>
      <c r="N144" s="1">
        <v>63</v>
      </c>
      <c r="O144" s="1" t="s">
        <v>42</v>
      </c>
      <c r="P144" s="1" t="s">
        <v>59</v>
      </c>
      <c r="Q144" s="1">
        <v>23</v>
      </c>
      <c r="R144" s="1" t="s">
        <v>37</v>
      </c>
      <c r="S144" s="1">
        <v>300</v>
      </c>
      <c r="T144" s="5">
        <f>Tabela1[[#This Row],[investimento]]/Tabela1[[#This Row],[leads_gerados]]</f>
        <v>67.48677248677248</v>
      </c>
      <c r="U144" s="5">
        <f>VLOOKUP(Tabela1[[#This Row],[canal_aquisicao]],Tabela2[#All],2,0)</f>
        <v>18122.25</v>
      </c>
      <c r="V144" s="1" t="str">
        <f t="shared" si="16"/>
        <v>Não Qualificado</v>
      </c>
      <c r="W144" s="1" t="str">
        <f>VLOOKUP(C144,Tabela5[#All],2,0)</f>
        <v>Intenção de Compra</v>
      </c>
      <c r="X144" s="14" t="str">
        <f t="shared" si="17"/>
        <v>Baixo</v>
      </c>
      <c r="Y144" s="17" t="str">
        <f t="shared" si="18"/>
        <v>Baixo</v>
      </c>
      <c r="Z144" s="17" t="str">
        <f t="shared" si="19"/>
        <v>Sênior</v>
      </c>
      <c r="AA144" s="17" t="str">
        <f>IF($AG$10&gt;=Tabela1[[#This Row],[investimento]]&gt;=$AG$11,"OK","Outlier")</f>
        <v>OK</v>
      </c>
      <c r="AB144" s="17" t="str">
        <f>IF($AG$17&gt;=Tabela1[[#This Row],[visitantes]]&gt;=$AG$18,"OK","Outlier")</f>
        <v>OK</v>
      </c>
      <c r="AC144" s="17" t="str">
        <f>IF($AG$24&gt;=Tabela1[[#This Row],[leads_gerados]]&gt;=$AG$25,"OK","Outlier")</f>
        <v>OK</v>
      </c>
      <c r="AD144" s="17" t="str">
        <f>IF($AG$31&gt;=Tabela1[[#This Row],[ltv_estimado]]&gt;=$AG$32,"OK","Outlier")</f>
        <v>OK</v>
      </c>
      <c r="AE144" s="17"/>
    </row>
    <row r="145" spans="1:31" ht="15.75" customHeight="1" x14ac:dyDescent="0.25">
      <c r="A145" s="1" t="s">
        <v>93</v>
      </c>
      <c r="B145" s="2">
        <v>45470</v>
      </c>
      <c r="C145" s="1" t="s">
        <v>21</v>
      </c>
      <c r="D145" s="1" t="s">
        <v>32</v>
      </c>
      <c r="E145" s="1" t="s">
        <v>23</v>
      </c>
      <c r="F145" s="1">
        <v>1969</v>
      </c>
      <c r="G145" s="1">
        <v>4586</v>
      </c>
      <c r="H145" s="1">
        <v>10</v>
      </c>
      <c r="I145" s="1" t="s">
        <v>40</v>
      </c>
      <c r="J145" s="1">
        <v>25</v>
      </c>
      <c r="K145" s="1" t="s">
        <v>41</v>
      </c>
      <c r="L145" s="1">
        <v>335</v>
      </c>
      <c r="M145" s="1">
        <v>335</v>
      </c>
      <c r="N145">
        <v>38</v>
      </c>
      <c r="O145" s="1" t="s">
        <v>26</v>
      </c>
      <c r="P145" s="1" t="s">
        <v>59</v>
      </c>
      <c r="Q145" s="1">
        <v>5</v>
      </c>
      <c r="R145" s="1" t="s">
        <v>47</v>
      </c>
      <c r="S145" s="1">
        <v>2842</v>
      </c>
      <c r="T145" s="5">
        <f>Tabela1[[#This Row],[investimento]]/Tabela1[[#This Row],[leads_gerados]]</f>
        <v>196.9</v>
      </c>
      <c r="U145" s="5">
        <f>VLOOKUP(Tabela1[[#This Row],[canal_aquisicao]],Tabela2[#All],2,0)</f>
        <v>18122.25</v>
      </c>
      <c r="V145" s="1" t="str">
        <f t="shared" si="16"/>
        <v>Não Qualificado</v>
      </c>
      <c r="W145" s="1" t="str">
        <f>VLOOKUP(C145,Tabela5[#All],2,0)</f>
        <v>Intenção de Compra</v>
      </c>
      <c r="X145" s="14" t="str">
        <f t="shared" si="17"/>
        <v>Baixo</v>
      </c>
      <c r="Y145" s="17" t="str">
        <f t="shared" si="18"/>
        <v>Médio</v>
      </c>
      <c r="Z145" s="17" t="str">
        <f t="shared" si="19"/>
        <v>Adulto</v>
      </c>
      <c r="AA145" s="17" t="str">
        <f>IF($AG$10&gt;=Tabela1[[#This Row],[investimento]]&gt;=$AG$11,"OK","Outlier")</f>
        <v>OK</v>
      </c>
      <c r="AB145" s="17" t="str">
        <f>IF($AG$17&gt;=Tabela1[[#This Row],[visitantes]]&gt;=$AG$18,"OK","Outlier")</f>
        <v>OK</v>
      </c>
      <c r="AC145" s="17" t="str">
        <f>IF($AG$24&gt;=Tabela1[[#This Row],[leads_gerados]]&gt;=$AG$25,"OK","Outlier")</f>
        <v>OK</v>
      </c>
      <c r="AD145" s="17" t="str">
        <f>IF($AG$31&gt;=Tabela1[[#This Row],[ltv_estimado]]&gt;=$AG$32,"OK","Outlier")</f>
        <v>OK</v>
      </c>
      <c r="AE145" s="17"/>
    </row>
    <row r="146" spans="1:31" ht="15.75" customHeight="1" x14ac:dyDescent="0.25">
      <c r="A146" s="1" t="s">
        <v>95</v>
      </c>
      <c r="B146" s="2">
        <v>45808</v>
      </c>
      <c r="C146" s="1" t="s">
        <v>57</v>
      </c>
      <c r="D146" s="1" t="s">
        <v>32</v>
      </c>
      <c r="E146" s="1" t="s">
        <v>50</v>
      </c>
      <c r="F146" s="1">
        <v>17819</v>
      </c>
      <c r="G146" s="1">
        <v>1266</v>
      </c>
      <c r="H146" s="1">
        <v>205</v>
      </c>
      <c r="I146" s="1" t="s">
        <v>24</v>
      </c>
      <c r="J146" s="1">
        <v>10</v>
      </c>
      <c r="K146" s="1" t="s">
        <v>25</v>
      </c>
      <c r="L146" s="1">
        <v>0</v>
      </c>
      <c r="M146" s="1">
        <v>0</v>
      </c>
      <c r="N146" s="1">
        <v>27</v>
      </c>
      <c r="O146" s="1" t="s">
        <v>42</v>
      </c>
      <c r="P146" s="1" t="s">
        <v>46</v>
      </c>
      <c r="Q146" s="1">
        <v>44</v>
      </c>
      <c r="R146" s="1" t="s">
        <v>37</v>
      </c>
      <c r="S146" s="1">
        <v>1453</v>
      </c>
      <c r="T146" s="5">
        <f>Tabela1[[#This Row],[investimento]]/Tabela1[[#This Row],[leads_gerados]]</f>
        <v>86.921951219512195</v>
      </c>
      <c r="U146" s="5">
        <f>VLOOKUP(Tabela1[[#This Row],[canal_aquisicao]],Tabela2[#All],2,0)</f>
        <v>22207.375</v>
      </c>
      <c r="V146" s="1" t="str">
        <f t="shared" si="16"/>
        <v>Não Qualificado</v>
      </c>
      <c r="W146" s="1" t="str">
        <f>VLOOKUP(C146,Tabela5[#All],2,0)</f>
        <v>Intenção de Compra</v>
      </c>
      <c r="X146" s="14" t="str">
        <f t="shared" si="17"/>
        <v>Médio</v>
      </c>
      <c r="Y146" s="17" t="str">
        <f t="shared" si="18"/>
        <v>Sem Compra</v>
      </c>
      <c r="Z146" s="17" t="str">
        <f t="shared" si="19"/>
        <v>Adulto</v>
      </c>
      <c r="AA146" s="17" t="str">
        <f>IF($AG$10&gt;=Tabela1[[#This Row],[investimento]]&gt;=$AG$11,"OK","Outlier")</f>
        <v>OK</v>
      </c>
      <c r="AB146" s="17" t="str">
        <f>IF($AG$17&gt;=Tabela1[[#This Row],[visitantes]]&gt;=$AG$18,"OK","Outlier")</f>
        <v>OK</v>
      </c>
      <c r="AC146" s="17" t="str">
        <f>IF($AG$24&gt;=Tabela1[[#This Row],[leads_gerados]]&gt;=$AG$25,"OK","Outlier")</f>
        <v>OK</v>
      </c>
      <c r="AD146" s="17" t="str">
        <f>IF($AG$31&gt;=Tabela1[[#This Row],[ltv_estimado]]&gt;=$AG$32,"OK","Outlier")</f>
        <v>OK</v>
      </c>
      <c r="AE146" s="17"/>
    </row>
    <row r="147" spans="1:31" ht="15.75" customHeight="1" x14ac:dyDescent="0.25">
      <c r="A147" s="1" t="s">
        <v>96</v>
      </c>
      <c r="B147" s="2">
        <v>45324</v>
      </c>
      <c r="C147" s="1" t="s">
        <v>57</v>
      </c>
      <c r="D147" s="1" t="s">
        <v>32</v>
      </c>
      <c r="E147" s="1" t="s">
        <v>23</v>
      </c>
      <c r="F147" s="1">
        <v>6830</v>
      </c>
      <c r="G147" s="1">
        <v>1133</v>
      </c>
      <c r="H147" s="1">
        <v>227</v>
      </c>
      <c r="I147" s="1" t="s">
        <v>58</v>
      </c>
      <c r="J147" s="1">
        <v>2</v>
      </c>
      <c r="K147" s="1" t="s">
        <v>41</v>
      </c>
      <c r="L147" s="1">
        <v>363</v>
      </c>
      <c r="M147" s="1">
        <v>181.5</v>
      </c>
      <c r="N147" s="1">
        <v>26</v>
      </c>
      <c r="O147" s="1" t="s">
        <v>42</v>
      </c>
      <c r="P147" s="1" t="s">
        <v>46</v>
      </c>
      <c r="Q147" s="1">
        <v>78</v>
      </c>
      <c r="R147" s="1" t="s">
        <v>47</v>
      </c>
      <c r="S147" s="1">
        <v>4331</v>
      </c>
      <c r="T147" s="5">
        <f>Tabela1[[#This Row],[investimento]]/Tabela1[[#This Row],[leads_gerados]]</f>
        <v>30.088105726872246</v>
      </c>
      <c r="U147" s="5">
        <f>VLOOKUP(Tabela1[[#This Row],[canal_aquisicao]],Tabela2[#All],2,0)</f>
        <v>22207.375</v>
      </c>
      <c r="V147" s="1" t="str">
        <f t="shared" si="16"/>
        <v>Qualificado</v>
      </c>
      <c r="W147" s="1" t="str">
        <f>VLOOKUP(C147,Tabela5[#All],2,0)</f>
        <v>Intenção de Compra</v>
      </c>
      <c r="X147" s="14" t="str">
        <f t="shared" si="17"/>
        <v>Alto</v>
      </c>
      <c r="Y147" s="17" t="str">
        <f t="shared" si="18"/>
        <v>Médio</v>
      </c>
      <c r="Z147" s="17" t="str">
        <f t="shared" si="19"/>
        <v>Adulto</v>
      </c>
      <c r="AA147" s="17" t="str">
        <f>IF($AG$10&gt;=Tabela1[[#This Row],[investimento]]&gt;=$AG$11,"OK","Outlier")</f>
        <v>OK</v>
      </c>
      <c r="AB147" s="17" t="str">
        <f>IF($AG$17&gt;=Tabela1[[#This Row],[visitantes]]&gt;=$AG$18,"OK","Outlier")</f>
        <v>OK</v>
      </c>
      <c r="AC147" s="17" t="str">
        <f>IF($AG$24&gt;=Tabela1[[#This Row],[leads_gerados]]&gt;=$AG$25,"OK","Outlier")</f>
        <v>OK</v>
      </c>
      <c r="AD147" s="17" t="str">
        <f>IF($AG$31&gt;=Tabela1[[#This Row],[ltv_estimado]]&gt;=$AG$32,"OK","Outlier")</f>
        <v>OK</v>
      </c>
      <c r="AE147" s="17"/>
    </row>
    <row r="148" spans="1:31" ht="15.75" customHeight="1" x14ac:dyDescent="0.25">
      <c r="A148" s="1" t="s">
        <v>95</v>
      </c>
      <c r="B148" s="2">
        <v>45339</v>
      </c>
      <c r="C148" s="1" t="s">
        <v>54</v>
      </c>
      <c r="D148" s="1" t="s">
        <v>32</v>
      </c>
      <c r="E148" s="1" t="s">
        <v>50</v>
      </c>
      <c r="F148" s="1">
        <v>4728</v>
      </c>
      <c r="G148" s="1">
        <v>2559</v>
      </c>
      <c r="H148" s="1">
        <v>25</v>
      </c>
      <c r="I148" s="1" t="s">
        <v>55</v>
      </c>
      <c r="J148" s="1">
        <v>31</v>
      </c>
      <c r="K148" s="1" t="s">
        <v>25</v>
      </c>
      <c r="L148" s="1">
        <v>0</v>
      </c>
      <c r="M148" s="1">
        <v>0</v>
      </c>
      <c r="N148" s="1">
        <v>34</v>
      </c>
      <c r="O148" s="1" t="s">
        <v>42</v>
      </c>
      <c r="P148" s="1" t="s">
        <v>46</v>
      </c>
      <c r="Q148" s="1">
        <v>47</v>
      </c>
      <c r="R148" s="1" t="s">
        <v>37</v>
      </c>
      <c r="S148" s="1">
        <v>1350</v>
      </c>
      <c r="T148" s="5">
        <f>Tabela1[[#This Row],[investimento]]/Tabela1[[#This Row],[leads_gerados]]</f>
        <v>189.12</v>
      </c>
      <c r="U148" s="5">
        <f>VLOOKUP(Tabela1[[#This Row],[canal_aquisicao]],Tabela2[#All],2,0)</f>
        <v>23467.142857142859</v>
      </c>
      <c r="V148" s="1" t="str">
        <f t="shared" si="16"/>
        <v>Não Qualificado</v>
      </c>
      <c r="W148" s="1" t="str">
        <f>VLOOKUP(C148,Tabela5[#All],2,0)</f>
        <v>Awareness</v>
      </c>
      <c r="X148" s="14" t="str">
        <f t="shared" si="17"/>
        <v>Médio</v>
      </c>
      <c r="Y148" s="17" t="str">
        <f t="shared" si="18"/>
        <v>Sem Compra</v>
      </c>
      <c r="Z148" s="17" t="str">
        <f t="shared" si="19"/>
        <v>Adulto</v>
      </c>
      <c r="AA148" s="17" t="str">
        <f>IF($AG$10&gt;=Tabela1[[#This Row],[investimento]]&gt;=$AG$11,"OK","Outlier")</f>
        <v>OK</v>
      </c>
      <c r="AB148" s="17" t="str">
        <f>IF($AG$17&gt;=Tabela1[[#This Row],[visitantes]]&gt;=$AG$18,"OK","Outlier")</f>
        <v>OK</v>
      </c>
      <c r="AC148" s="17" t="str">
        <f>IF($AG$24&gt;=Tabela1[[#This Row],[leads_gerados]]&gt;=$AG$25,"OK","Outlier")</f>
        <v>OK</v>
      </c>
      <c r="AD148" s="17" t="str">
        <f>IF($AG$31&gt;=Tabela1[[#This Row],[ltv_estimado]]&gt;=$AG$32,"OK","Outlier")</f>
        <v>OK</v>
      </c>
      <c r="AE148" s="17"/>
    </row>
    <row r="149" spans="1:31" ht="15.75" customHeight="1" x14ac:dyDescent="0.25">
      <c r="A149" s="1" t="s">
        <v>64</v>
      </c>
      <c r="B149" s="2">
        <v>45611</v>
      </c>
      <c r="C149" s="1" t="s">
        <v>57</v>
      </c>
      <c r="D149" s="1" t="s">
        <v>32</v>
      </c>
      <c r="E149" s="1" t="s">
        <v>24</v>
      </c>
      <c r="F149" s="1">
        <v>8030</v>
      </c>
      <c r="G149" s="1">
        <v>3404</v>
      </c>
      <c r="H149" s="1">
        <v>139</v>
      </c>
      <c r="I149" s="1" t="s">
        <v>63</v>
      </c>
      <c r="J149" s="1">
        <v>20</v>
      </c>
      <c r="K149" s="1" t="s">
        <v>25</v>
      </c>
      <c r="L149" s="1">
        <v>0</v>
      </c>
      <c r="M149" s="1">
        <v>0</v>
      </c>
      <c r="N149" s="1">
        <v>55</v>
      </c>
      <c r="O149" s="1" t="s">
        <v>42</v>
      </c>
      <c r="P149" s="1" t="s">
        <v>46</v>
      </c>
      <c r="Q149" s="1">
        <v>46</v>
      </c>
      <c r="R149" s="1" t="s">
        <v>29</v>
      </c>
      <c r="S149" s="1">
        <v>3879</v>
      </c>
      <c r="T149" s="5">
        <f>Tabela1[[#This Row],[investimento]]/Tabela1[[#This Row],[leads_gerados]]</f>
        <v>57.769784172661872</v>
      </c>
      <c r="U149" s="5">
        <f>VLOOKUP(Tabela1[[#This Row],[canal_aquisicao]],Tabela2[#All],2,0)</f>
        <v>22207.375</v>
      </c>
      <c r="V149" s="1" t="str">
        <f t="shared" si="16"/>
        <v>Não Qualificado</v>
      </c>
      <c r="W149" s="1" t="str">
        <f>VLOOKUP(C149,Tabela5[#All],2,0)</f>
        <v>Intenção de Compra</v>
      </c>
      <c r="X149" s="14" t="str">
        <f t="shared" si="17"/>
        <v>Médio</v>
      </c>
      <c r="Y149" s="17" t="str">
        <f t="shared" si="18"/>
        <v>Sem Compra</v>
      </c>
      <c r="Z149" s="17" t="str">
        <f t="shared" si="19"/>
        <v>Sênior</v>
      </c>
      <c r="AA149" s="17" t="str">
        <f>IF($AG$10&gt;=Tabela1[[#This Row],[investimento]]&gt;=$AG$11,"OK","Outlier")</f>
        <v>OK</v>
      </c>
      <c r="AB149" s="17" t="str">
        <f>IF($AG$17&gt;=Tabela1[[#This Row],[visitantes]]&gt;=$AG$18,"OK","Outlier")</f>
        <v>OK</v>
      </c>
      <c r="AC149" s="17" t="str">
        <f>IF($AG$24&gt;=Tabela1[[#This Row],[leads_gerados]]&gt;=$AG$25,"OK","Outlier")</f>
        <v>OK</v>
      </c>
      <c r="AD149" s="17" t="str">
        <f>IF($AG$31&gt;=Tabela1[[#This Row],[ltv_estimado]]&gt;=$AG$32,"OK","Outlier")</f>
        <v>OK</v>
      </c>
      <c r="AE149" s="17"/>
    </row>
    <row r="150" spans="1:31" ht="15.75" customHeight="1" x14ac:dyDescent="0.25">
      <c r="A150" s="1" t="s">
        <v>102</v>
      </c>
      <c r="B150" s="2">
        <v>45671</v>
      </c>
      <c r="C150" s="1" t="s">
        <v>31</v>
      </c>
      <c r="D150" s="1" t="s">
        <v>32</v>
      </c>
      <c r="E150" s="1" t="s">
        <v>24</v>
      </c>
      <c r="F150" s="1">
        <v>1887</v>
      </c>
      <c r="G150" s="1">
        <v>3471</v>
      </c>
      <c r="H150" s="1">
        <v>202</v>
      </c>
      <c r="I150" s="1" t="s">
        <v>40</v>
      </c>
      <c r="J150" s="1">
        <v>21</v>
      </c>
      <c r="K150" s="1" t="s">
        <v>41</v>
      </c>
      <c r="L150" s="1">
        <v>855</v>
      </c>
      <c r="M150" s="1">
        <v>427.5</v>
      </c>
      <c r="N150" s="1">
        <v>28</v>
      </c>
      <c r="O150" s="1" t="s">
        <v>42</v>
      </c>
      <c r="P150" s="1" t="s">
        <v>59</v>
      </c>
      <c r="Q150" s="1">
        <v>57</v>
      </c>
      <c r="R150" s="1" t="s">
        <v>47</v>
      </c>
      <c r="S150" s="1">
        <v>2406</v>
      </c>
      <c r="T150" s="5">
        <f>Tabela1[[#This Row],[investimento]]/Tabela1[[#This Row],[leads_gerados]]</f>
        <v>9.3415841584158414</v>
      </c>
      <c r="U150" s="5">
        <f>VLOOKUP(Tabela1[[#This Row],[canal_aquisicao]],Tabela2[#All],2,0)</f>
        <v>20204</v>
      </c>
      <c r="V150" s="1" t="str">
        <f t="shared" si="16"/>
        <v>Não Qualificado</v>
      </c>
      <c r="W150" s="1" t="str">
        <f>VLOOKUP(C150,Tabela5[#All],2,0)</f>
        <v>Intenção de Compra</v>
      </c>
      <c r="X150" s="14" t="str">
        <f t="shared" si="17"/>
        <v>Médio</v>
      </c>
      <c r="Y150" s="17" t="str">
        <f t="shared" si="18"/>
        <v>Alto</v>
      </c>
      <c r="Z150" s="17" t="str">
        <f t="shared" si="19"/>
        <v>Adulto</v>
      </c>
      <c r="AA150" s="17" t="str">
        <f>IF($AG$10&gt;=Tabela1[[#This Row],[investimento]]&gt;=$AG$11,"OK","Outlier")</f>
        <v>OK</v>
      </c>
      <c r="AB150" s="17" t="str">
        <f>IF($AG$17&gt;=Tabela1[[#This Row],[visitantes]]&gt;=$AG$18,"OK","Outlier")</f>
        <v>OK</v>
      </c>
      <c r="AC150" s="17" t="str">
        <f>IF($AG$24&gt;=Tabela1[[#This Row],[leads_gerados]]&gt;=$AG$25,"OK","Outlier")</f>
        <v>OK</v>
      </c>
      <c r="AD150" s="17" t="str">
        <f>IF($AG$31&gt;=Tabela1[[#This Row],[ltv_estimado]]&gt;=$AG$32,"OK","Outlier")</f>
        <v>OK</v>
      </c>
      <c r="AE150" s="17"/>
    </row>
    <row r="151" spans="1:31" ht="15.75" customHeight="1" x14ac:dyDescent="0.25">
      <c r="A151" s="1" t="s">
        <v>106</v>
      </c>
      <c r="B151" s="2">
        <v>45802</v>
      </c>
      <c r="C151" s="1" t="s">
        <v>57</v>
      </c>
      <c r="D151" s="1" t="s">
        <v>32</v>
      </c>
      <c r="E151" s="1" t="s">
        <v>33</v>
      </c>
      <c r="F151" s="1">
        <v>4970</v>
      </c>
      <c r="G151" s="1">
        <v>4865</v>
      </c>
      <c r="H151" s="1">
        <v>159</v>
      </c>
      <c r="I151" s="1" t="s">
        <v>34</v>
      </c>
      <c r="J151" s="1">
        <v>2</v>
      </c>
      <c r="K151" s="1" t="s">
        <v>25</v>
      </c>
      <c r="L151" s="1">
        <v>0</v>
      </c>
      <c r="M151" s="1">
        <v>0</v>
      </c>
      <c r="N151" s="1">
        <v>42</v>
      </c>
      <c r="O151" s="1" t="s">
        <v>26</v>
      </c>
      <c r="P151" s="1" t="s">
        <v>51</v>
      </c>
      <c r="Q151" s="1">
        <v>49</v>
      </c>
      <c r="R151" s="1" t="s">
        <v>47</v>
      </c>
      <c r="S151" s="1">
        <v>5722</v>
      </c>
      <c r="T151" s="5">
        <f>Tabela1[[#This Row],[investimento]]/Tabela1[[#This Row],[leads_gerados]]</f>
        <v>31.257861635220127</v>
      </c>
      <c r="U151" s="5">
        <f>VLOOKUP(Tabela1[[#This Row],[canal_aquisicao]],Tabela2[#All],2,0)</f>
        <v>22207.375</v>
      </c>
      <c r="V151" s="1" t="str">
        <f t="shared" si="16"/>
        <v>Não Qualificado</v>
      </c>
      <c r="W151" s="1" t="str">
        <f>VLOOKUP(C151,Tabela5[#All],2,0)</f>
        <v>Intenção de Compra</v>
      </c>
      <c r="X151" s="14" t="str">
        <f t="shared" si="17"/>
        <v>Médio</v>
      </c>
      <c r="Y151" s="17" t="str">
        <f t="shared" si="18"/>
        <v>Sem Compra</v>
      </c>
      <c r="Z151" s="17" t="str">
        <f t="shared" si="19"/>
        <v>Sênior</v>
      </c>
      <c r="AA151" s="17" t="str">
        <f>IF($AG$10&gt;=Tabela1[[#This Row],[investimento]]&gt;=$AG$11,"OK","Outlier")</f>
        <v>OK</v>
      </c>
      <c r="AB151" s="17" t="str">
        <f>IF($AG$17&gt;=Tabela1[[#This Row],[visitantes]]&gt;=$AG$18,"OK","Outlier")</f>
        <v>OK</v>
      </c>
      <c r="AC151" s="17" t="str">
        <f>IF($AG$24&gt;=Tabela1[[#This Row],[leads_gerados]]&gt;=$AG$25,"OK","Outlier")</f>
        <v>OK</v>
      </c>
      <c r="AD151" s="17" t="str">
        <f>IF($AG$31&gt;=Tabela1[[#This Row],[ltv_estimado]]&gt;=$AG$32,"OK","Outlier")</f>
        <v>OK</v>
      </c>
      <c r="AE151" s="17"/>
    </row>
    <row r="152" spans="1:31" ht="15.75" customHeight="1" x14ac:dyDescent="0.25">
      <c r="A152" s="1" t="s">
        <v>107</v>
      </c>
      <c r="B152" s="2">
        <v>45421</v>
      </c>
      <c r="C152" s="1" t="s">
        <v>31</v>
      </c>
      <c r="D152" s="1" t="s">
        <v>32</v>
      </c>
      <c r="E152" s="1" t="s">
        <v>50</v>
      </c>
      <c r="F152" s="1">
        <v>5686</v>
      </c>
      <c r="G152" s="1">
        <v>1321</v>
      </c>
      <c r="H152" s="1">
        <v>179</v>
      </c>
      <c r="I152" s="1" t="s">
        <v>40</v>
      </c>
      <c r="J152" s="1">
        <v>12</v>
      </c>
      <c r="K152" s="1" t="s">
        <v>41</v>
      </c>
      <c r="L152" s="1">
        <v>527</v>
      </c>
      <c r="M152" s="1">
        <v>175.67</v>
      </c>
      <c r="N152" s="1">
        <v>45</v>
      </c>
      <c r="O152" s="1" t="s">
        <v>26</v>
      </c>
      <c r="P152" s="1" t="s">
        <v>51</v>
      </c>
      <c r="Q152" s="1">
        <v>91</v>
      </c>
      <c r="R152" s="1" t="s">
        <v>47</v>
      </c>
      <c r="S152" s="1">
        <v>3157</v>
      </c>
      <c r="T152" s="5">
        <f>Tabela1[[#This Row],[investimento]]/Tabela1[[#This Row],[leads_gerados]]</f>
        <v>31.765363128491622</v>
      </c>
      <c r="U152" s="5">
        <f>VLOOKUP(Tabela1[[#This Row],[canal_aquisicao]],Tabela2[#All],2,0)</f>
        <v>20204</v>
      </c>
      <c r="V152" s="1" t="str">
        <f t="shared" si="16"/>
        <v>Qualificado</v>
      </c>
      <c r="W152" s="1" t="str">
        <f>VLOOKUP(C152,Tabela5[#All],2,0)</f>
        <v>Intenção de Compra</v>
      </c>
      <c r="X152" s="14" t="str">
        <f t="shared" si="17"/>
        <v>Alto</v>
      </c>
      <c r="Y152" s="17" t="str">
        <f t="shared" si="18"/>
        <v>Médio</v>
      </c>
      <c r="Z152" s="17" t="str">
        <f t="shared" si="19"/>
        <v>Sênior</v>
      </c>
      <c r="AA152" s="17" t="str">
        <f>IF($AG$10&gt;=Tabela1[[#This Row],[investimento]]&gt;=$AG$11,"OK","Outlier")</f>
        <v>OK</v>
      </c>
      <c r="AB152" s="17" t="str">
        <f>IF($AG$17&gt;=Tabela1[[#This Row],[visitantes]]&gt;=$AG$18,"OK","Outlier")</f>
        <v>OK</v>
      </c>
      <c r="AC152" s="17" t="str">
        <f>IF($AG$24&gt;=Tabela1[[#This Row],[leads_gerados]]&gt;=$AG$25,"OK","Outlier")</f>
        <v>OK</v>
      </c>
      <c r="AD152" s="17" t="str">
        <f>IF($AG$31&gt;=Tabela1[[#This Row],[ltv_estimado]]&gt;=$AG$32,"OK","Outlier")</f>
        <v>OK</v>
      </c>
      <c r="AE152" s="17"/>
    </row>
    <row r="153" spans="1:31" ht="15.75" customHeight="1" x14ac:dyDescent="0.25">
      <c r="A153" s="1" t="s">
        <v>111</v>
      </c>
      <c r="B153" s="2">
        <v>45674</v>
      </c>
      <c r="C153" s="1" t="s">
        <v>57</v>
      </c>
      <c r="D153" s="1" t="s">
        <v>32</v>
      </c>
      <c r="E153" s="1" t="s">
        <v>50</v>
      </c>
      <c r="F153" s="1">
        <v>14179</v>
      </c>
      <c r="G153" s="1">
        <v>4146</v>
      </c>
      <c r="H153" s="1">
        <v>77</v>
      </c>
      <c r="I153" s="1" t="s">
        <v>55</v>
      </c>
      <c r="J153" s="1">
        <v>3</v>
      </c>
      <c r="K153" s="1" t="s">
        <v>25</v>
      </c>
      <c r="L153" s="1">
        <v>0</v>
      </c>
      <c r="M153" s="1">
        <v>0</v>
      </c>
      <c r="N153" s="1">
        <v>22</v>
      </c>
      <c r="O153" s="1" t="s">
        <v>26</v>
      </c>
      <c r="P153" s="1" t="s">
        <v>46</v>
      </c>
      <c r="Q153" s="1">
        <v>7</v>
      </c>
      <c r="R153" s="1" t="s">
        <v>47</v>
      </c>
      <c r="S153" s="1">
        <v>4820</v>
      </c>
      <c r="T153" s="5">
        <f>Tabela1[[#This Row],[investimento]]/Tabela1[[#This Row],[leads_gerados]]</f>
        <v>184.14285714285714</v>
      </c>
      <c r="U153" s="5">
        <f>VLOOKUP(Tabela1[[#This Row],[canal_aquisicao]],Tabela2[#All],2,0)</f>
        <v>22207.375</v>
      </c>
      <c r="V153" s="1" t="str">
        <f t="shared" si="16"/>
        <v>Não Qualificado</v>
      </c>
      <c r="W153" s="1" t="str">
        <f>VLOOKUP(C153,Tabela5[#All],2,0)</f>
        <v>Intenção de Compra</v>
      </c>
      <c r="X153" s="14" t="str">
        <f t="shared" si="17"/>
        <v>Baixo</v>
      </c>
      <c r="Y153" s="17" t="str">
        <f t="shared" si="18"/>
        <v>Sem Compra</v>
      </c>
      <c r="Z153" s="17" t="str">
        <f t="shared" si="19"/>
        <v>Jovem</v>
      </c>
      <c r="AA153" s="17" t="str">
        <f>IF($AG$10&gt;=Tabela1[[#This Row],[investimento]]&gt;=$AG$11,"OK","Outlier")</f>
        <v>OK</v>
      </c>
      <c r="AB153" s="17" t="str">
        <f>IF($AG$17&gt;=Tabela1[[#This Row],[visitantes]]&gt;=$AG$18,"OK","Outlier")</f>
        <v>OK</v>
      </c>
      <c r="AC153" s="17" t="str">
        <f>IF($AG$24&gt;=Tabela1[[#This Row],[leads_gerados]]&gt;=$AG$25,"OK","Outlier")</f>
        <v>OK</v>
      </c>
      <c r="AD153" s="17" t="str">
        <f>IF($AG$31&gt;=Tabela1[[#This Row],[ltv_estimado]]&gt;=$AG$32,"OK","Outlier")</f>
        <v>OK</v>
      </c>
      <c r="AE153" s="17"/>
    </row>
    <row r="154" spans="1:31" ht="15.75" customHeight="1" x14ac:dyDescent="0.25">
      <c r="A154" s="1" t="s">
        <v>56</v>
      </c>
      <c r="B154" s="2">
        <v>45738</v>
      </c>
      <c r="C154" s="1" t="s">
        <v>54</v>
      </c>
      <c r="D154" s="1" t="s">
        <v>32</v>
      </c>
      <c r="E154" s="1" t="s">
        <v>33</v>
      </c>
      <c r="F154" s="1">
        <v>1008</v>
      </c>
      <c r="G154" s="1">
        <v>2834</v>
      </c>
      <c r="H154" s="1">
        <v>96</v>
      </c>
      <c r="I154" s="1" t="s">
        <v>34</v>
      </c>
      <c r="J154" s="1">
        <v>17</v>
      </c>
      <c r="K154" s="1" t="s">
        <v>41</v>
      </c>
      <c r="L154" s="1">
        <v>196</v>
      </c>
      <c r="M154" s="1">
        <v>196</v>
      </c>
      <c r="N154">
        <v>38</v>
      </c>
      <c r="O154" s="1" t="s">
        <v>26</v>
      </c>
      <c r="P154" s="1" t="s">
        <v>46</v>
      </c>
      <c r="Q154" s="1">
        <v>31</v>
      </c>
      <c r="R154" s="1" t="s">
        <v>37</v>
      </c>
      <c r="S154" s="1">
        <v>4741</v>
      </c>
      <c r="T154" s="5">
        <f>Tabela1[[#This Row],[investimento]]/Tabela1[[#This Row],[leads_gerados]]</f>
        <v>10.5</v>
      </c>
      <c r="U154" s="5">
        <f>VLOOKUP(Tabela1[[#This Row],[canal_aquisicao]],Tabela2[#All],2,0)</f>
        <v>23467.142857142859</v>
      </c>
      <c r="V154" s="1" t="str">
        <f t="shared" si="16"/>
        <v>Não Qualificado</v>
      </c>
      <c r="W154" s="1" t="str">
        <f>VLOOKUP(C154,Tabela5[#All],2,0)</f>
        <v>Awareness</v>
      </c>
      <c r="X154" s="14" t="str">
        <f t="shared" si="17"/>
        <v>Baixo</v>
      </c>
      <c r="Y154" s="17" t="str">
        <f t="shared" si="18"/>
        <v>Médio</v>
      </c>
      <c r="Z154" s="17" t="str">
        <f t="shared" si="19"/>
        <v>Adulto</v>
      </c>
      <c r="AA154" s="17" t="str">
        <f>IF($AG$10&gt;=Tabela1[[#This Row],[investimento]]&gt;=$AG$11,"OK","Outlier")</f>
        <v>OK</v>
      </c>
      <c r="AB154" s="17" t="str">
        <f>IF($AG$17&gt;=Tabela1[[#This Row],[visitantes]]&gt;=$AG$18,"OK","Outlier")</f>
        <v>OK</v>
      </c>
      <c r="AC154" s="17" t="str">
        <f>IF($AG$24&gt;=Tabela1[[#This Row],[leads_gerados]]&gt;=$AG$25,"OK","Outlier")</f>
        <v>OK</v>
      </c>
      <c r="AD154" s="17" t="str">
        <f>IF($AG$31&gt;=Tabela1[[#This Row],[ltv_estimado]]&gt;=$AG$32,"OK","Outlier")</f>
        <v>OK</v>
      </c>
      <c r="AE154" s="17"/>
    </row>
    <row r="155" spans="1:31" ht="15.75" customHeight="1" x14ac:dyDescent="0.25">
      <c r="A155" s="1" t="s">
        <v>120</v>
      </c>
      <c r="B155" s="2">
        <v>45444</v>
      </c>
      <c r="C155" s="1" t="s">
        <v>39</v>
      </c>
      <c r="D155" s="1" t="s">
        <v>32</v>
      </c>
      <c r="E155" s="1" t="s">
        <v>33</v>
      </c>
      <c r="F155" s="1">
        <v>11228</v>
      </c>
      <c r="G155" s="1">
        <v>830</v>
      </c>
      <c r="H155" s="1">
        <v>82</v>
      </c>
      <c r="I155" s="1" t="s">
        <v>40</v>
      </c>
      <c r="J155" s="1">
        <v>38</v>
      </c>
      <c r="K155" s="1" t="s">
        <v>25</v>
      </c>
      <c r="L155" s="1">
        <v>0</v>
      </c>
      <c r="M155" s="1">
        <v>0</v>
      </c>
      <c r="N155">
        <v>38</v>
      </c>
      <c r="O155" s="1" t="s">
        <v>26</v>
      </c>
      <c r="P155" s="1" t="s">
        <v>59</v>
      </c>
      <c r="Q155" s="1">
        <v>43</v>
      </c>
      <c r="R155" s="1" t="s">
        <v>37</v>
      </c>
      <c r="S155" s="1">
        <v>5567</v>
      </c>
      <c r="T155" s="5">
        <f>Tabela1[[#This Row],[investimento]]/Tabela1[[#This Row],[leads_gerados]]</f>
        <v>136.92682926829269</v>
      </c>
      <c r="U155" s="5">
        <f>VLOOKUP(Tabela1[[#This Row],[canal_aquisicao]],Tabela2[#All],2,0)</f>
        <v>23256.714285714286</v>
      </c>
      <c r="V155" s="1" t="str">
        <f t="shared" si="16"/>
        <v>Não Qualificado</v>
      </c>
      <c r="W155" s="1" t="str">
        <f>VLOOKUP(C155,Tabela5[#All],2,0)</f>
        <v>Awareness</v>
      </c>
      <c r="X155" s="14" t="str">
        <f t="shared" si="17"/>
        <v>Médio</v>
      </c>
      <c r="Y155" s="17" t="str">
        <f t="shared" si="18"/>
        <v>Sem Compra</v>
      </c>
      <c r="Z155" s="17" t="str">
        <f t="shared" si="19"/>
        <v>Adulto</v>
      </c>
      <c r="AA155" s="17" t="str">
        <f>IF($AG$10&gt;=Tabela1[[#This Row],[investimento]]&gt;=$AG$11,"OK","Outlier")</f>
        <v>OK</v>
      </c>
      <c r="AB155" s="17" t="str">
        <f>IF($AG$17&gt;=Tabela1[[#This Row],[visitantes]]&gt;=$AG$18,"OK","Outlier")</f>
        <v>OK</v>
      </c>
      <c r="AC155" s="17" t="str">
        <f>IF($AG$24&gt;=Tabela1[[#This Row],[leads_gerados]]&gt;=$AG$25,"OK","Outlier")</f>
        <v>OK</v>
      </c>
      <c r="AD155" s="17" t="str">
        <f>IF($AG$31&gt;=Tabela1[[#This Row],[ltv_estimado]]&gt;=$AG$32,"OK","Outlier")</f>
        <v>OK</v>
      </c>
      <c r="AE155" s="17"/>
    </row>
    <row r="156" spans="1:31" ht="15.75" customHeight="1" x14ac:dyDescent="0.25">
      <c r="A156" s="1" t="s">
        <v>125</v>
      </c>
      <c r="B156" s="2">
        <v>45432</v>
      </c>
      <c r="C156" s="1" t="s">
        <v>31</v>
      </c>
      <c r="D156" s="1" t="s">
        <v>32</v>
      </c>
      <c r="E156" s="1" t="s">
        <v>33</v>
      </c>
      <c r="F156" s="1">
        <v>15354</v>
      </c>
      <c r="G156" s="1">
        <v>4661</v>
      </c>
      <c r="H156" s="1">
        <v>119</v>
      </c>
      <c r="I156" s="1" t="s">
        <v>58</v>
      </c>
      <c r="J156" s="1">
        <v>28</v>
      </c>
      <c r="K156" s="1" t="s">
        <v>41</v>
      </c>
      <c r="L156" s="1">
        <v>442</v>
      </c>
      <c r="M156" s="1">
        <v>147.33000000000001</v>
      </c>
      <c r="N156" s="1">
        <v>60</v>
      </c>
      <c r="O156" s="1" t="s">
        <v>26</v>
      </c>
      <c r="P156" s="1" t="s">
        <v>51</v>
      </c>
      <c r="Q156" s="1">
        <v>46</v>
      </c>
      <c r="R156" s="1" t="s">
        <v>37</v>
      </c>
      <c r="S156" s="1">
        <v>2454</v>
      </c>
      <c r="T156" s="5">
        <f>Tabela1[[#This Row],[investimento]]/Tabela1[[#This Row],[leads_gerados]]</f>
        <v>129.0252100840336</v>
      </c>
      <c r="U156" s="5">
        <f>VLOOKUP(Tabela1[[#This Row],[canal_aquisicao]],Tabela2[#All],2,0)</f>
        <v>20204</v>
      </c>
      <c r="V156" s="1" t="str">
        <f t="shared" si="16"/>
        <v>Não Qualificado</v>
      </c>
      <c r="W156" s="1" t="str">
        <f>VLOOKUP(C156,Tabela5[#All],2,0)</f>
        <v>Intenção de Compra</v>
      </c>
      <c r="X156" s="14" t="str">
        <f t="shared" si="17"/>
        <v>Médio</v>
      </c>
      <c r="Y156" s="17" t="str">
        <f t="shared" si="18"/>
        <v>Baixo</v>
      </c>
      <c r="Z156" s="17" t="str">
        <f t="shared" si="19"/>
        <v>Sênior</v>
      </c>
      <c r="AA156" s="17" t="str">
        <f>IF($AG$10&gt;=Tabela1[[#This Row],[investimento]]&gt;=$AG$11,"OK","Outlier")</f>
        <v>OK</v>
      </c>
      <c r="AB156" s="17" t="str">
        <f>IF($AG$17&gt;=Tabela1[[#This Row],[visitantes]]&gt;=$AG$18,"OK","Outlier")</f>
        <v>OK</v>
      </c>
      <c r="AC156" s="17" t="str">
        <f>IF($AG$24&gt;=Tabela1[[#This Row],[leads_gerados]]&gt;=$AG$25,"OK","Outlier")</f>
        <v>OK</v>
      </c>
      <c r="AD156" s="17" t="str">
        <f>IF($AG$31&gt;=Tabela1[[#This Row],[ltv_estimado]]&gt;=$AG$32,"OK","Outlier")</f>
        <v>OK</v>
      </c>
      <c r="AE156" s="17"/>
    </row>
    <row r="157" spans="1:31" ht="15.75" customHeight="1" x14ac:dyDescent="0.25">
      <c r="A157" s="1" t="s">
        <v>83</v>
      </c>
      <c r="B157" s="2">
        <v>45697</v>
      </c>
      <c r="C157" s="1" t="s">
        <v>57</v>
      </c>
      <c r="D157" s="1" t="s">
        <v>32</v>
      </c>
      <c r="E157" s="1" t="s">
        <v>50</v>
      </c>
      <c r="F157" s="1">
        <v>6797</v>
      </c>
      <c r="G157" s="1">
        <v>1281</v>
      </c>
      <c r="H157" s="1">
        <v>154</v>
      </c>
      <c r="I157" s="1" t="s">
        <v>63</v>
      </c>
      <c r="J157" s="1">
        <v>2</v>
      </c>
      <c r="K157" s="1" t="s">
        <v>41</v>
      </c>
      <c r="L157" s="1">
        <v>679</v>
      </c>
      <c r="M157" s="1">
        <v>226.33</v>
      </c>
      <c r="N157" s="1">
        <v>56</v>
      </c>
      <c r="O157" s="1" t="s">
        <v>42</v>
      </c>
      <c r="P157" s="1" t="s">
        <v>46</v>
      </c>
      <c r="Q157" s="1">
        <v>52</v>
      </c>
      <c r="R157" s="1" t="s">
        <v>47</v>
      </c>
      <c r="S157" s="1">
        <v>5141</v>
      </c>
      <c r="T157" s="5">
        <f>Tabela1[[#This Row],[investimento]]/Tabela1[[#This Row],[leads_gerados]]</f>
        <v>44.136363636363633</v>
      </c>
      <c r="U157" s="5">
        <f>VLOOKUP(Tabela1[[#This Row],[canal_aquisicao]],Tabela2[#All],2,0)</f>
        <v>22207.375</v>
      </c>
      <c r="V157" s="1" t="str">
        <f t="shared" si="16"/>
        <v>Não Qualificado</v>
      </c>
      <c r="W157" s="1" t="str">
        <f>VLOOKUP(C157,Tabela5[#All],2,0)</f>
        <v>Intenção de Compra</v>
      </c>
      <c r="X157" s="14" t="str">
        <f t="shared" si="17"/>
        <v>Médio</v>
      </c>
      <c r="Y157" s="17" t="str">
        <f t="shared" si="18"/>
        <v>Médio</v>
      </c>
      <c r="Z157" s="17" t="str">
        <f t="shared" si="19"/>
        <v>Sênior</v>
      </c>
      <c r="AA157" s="17" t="str">
        <f>IF($AG$10&gt;=Tabela1[[#This Row],[investimento]]&gt;=$AG$11,"OK","Outlier")</f>
        <v>OK</v>
      </c>
      <c r="AB157" s="17" t="str">
        <f>IF($AG$17&gt;=Tabela1[[#This Row],[visitantes]]&gt;=$AG$18,"OK","Outlier")</f>
        <v>OK</v>
      </c>
      <c r="AC157" s="17" t="str">
        <f>IF($AG$24&gt;=Tabela1[[#This Row],[leads_gerados]]&gt;=$AG$25,"OK","Outlier")</f>
        <v>OK</v>
      </c>
      <c r="AD157" s="17" t="str">
        <f>IF($AG$31&gt;=Tabela1[[#This Row],[ltv_estimado]]&gt;=$AG$32,"OK","Outlier")</f>
        <v>OK</v>
      </c>
      <c r="AE157" s="17"/>
    </row>
    <row r="158" spans="1:31" ht="15.75" customHeight="1" x14ac:dyDescent="0.25">
      <c r="A158" s="1" t="s">
        <v>127</v>
      </c>
      <c r="B158" s="2">
        <v>45333</v>
      </c>
      <c r="C158" s="1" t="s">
        <v>39</v>
      </c>
      <c r="D158" s="1" t="s">
        <v>32</v>
      </c>
      <c r="E158" s="1" t="s">
        <v>33</v>
      </c>
      <c r="F158" s="1">
        <v>13536</v>
      </c>
      <c r="G158" s="1">
        <v>4419</v>
      </c>
      <c r="H158" s="1">
        <v>210</v>
      </c>
      <c r="I158" s="1" t="s">
        <v>63</v>
      </c>
      <c r="J158" s="1">
        <v>5</v>
      </c>
      <c r="K158" s="1" t="s">
        <v>25</v>
      </c>
      <c r="L158" s="1">
        <v>0</v>
      </c>
      <c r="M158" s="1">
        <v>0</v>
      </c>
      <c r="N158" s="1">
        <v>46</v>
      </c>
      <c r="O158" s="1" t="s">
        <v>26</v>
      </c>
      <c r="P158" s="1" t="s">
        <v>46</v>
      </c>
      <c r="Q158" s="1">
        <v>37</v>
      </c>
      <c r="R158" s="1" t="s">
        <v>37</v>
      </c>
      <c r="S158" s="1">
        <v>4457</v>
      </c>
      <c r="T158" s="5">
        <f>Tabela1[[#This Row],[investimento]]/Tabela1[[#This Row],[leads_gerados]]</f>
        <v>64.457142857142856</v>
      </c>
      <c r="U158" s="5">
        <f>VLOOKUP(Tabela1[[#This Row],[canal_aquisicao]],Tabela2[#All],2,0)</f>
        <v>23256.714285714286</v>
      </c>
      <c r="V158" s="1" t="str">
        <f t="shared" si="16"/>
        <v>Não Qualificado</v>
      </c>
      <c r="W158" s="1" t="str">
        <f>VLOOKUP(C158,Tabela5[#All],2,0)</f>
        <v>Awareness</v>
      </c>
      <c r="X158" s="14" t="str">
        <f t="shared" si="17"/>
        <v>Baixo</v>
      </c>
      <c r="Y158" s="17" t="str">
        <f t="shared" si="18"/>
        <v>Sem Compra</v>
      </c>
      <c r="Z158" s="17" t="str">
        <f t="shared" si="19"/>
        <v>Sênior</v>
      </c>
      <c r="AA158" s="17" t="str">
        <f>IF($AG$10&gt;=Tabela1[[#This Row],[investimento]]&gt;=$AG$11,"OK","Outlier")</f>
        <v>OK</v>
      </c>
      <c r="AB158" s="17" t="str">
        <f>IF($AG$17&gt;=Tabela1[[#This Row],[visitantes]]&gt;=$AG$18,"OK","Outlier")</f>
        <v>OK</v>
      </c>
      <c r="AC158" s="17" t="str">
        <f>IF($AG$24&gt;=Tabela1[[#This Row],[leads_gerados]]&gt;=$AG$25,"OK","Outlier")</f>
        <v>OK</v>
      </c>
      <c r="AD158" s="17" t="str">
        <f>IF($AG$31&gt;=Tabela1[[#This Row],[ltv_estimado]]&gt;=$AG$32,"OK","Outlier")</f>
        <v>OK</v>
      </c>
      <c r="AE158" s="17"/>
    </row>
    <row r="159" spans="1:31" ht="15.75" customHeight="1" x14ac:dyDescent="0.25">
      <c r="A159" s="1" t="s">
        <v>128</v>
      </c>
      <c r="B159" s="2">
        <v>45823</v>
      </c>
      <c r="C159" s="1" t="s">
        <v>39</v>
      </c>
      <c r="D159" s="1" t="s">
        <v>32</v>
      </c>
      <c r="E159" s="1" t="s">
        <v>50</v>
      </c>
      <c r="F159" s="1">
        <v>15559</v>
      </c>
      <c r="G159" s="1">
        <v>669</v>
      </c>
      <c r="H159" s="1">
        <v>265</v>
      </c>
      <c r="I159" s="1" t="s">
        <v>55</v>
      </c>
      <c r="J159" s="1">
        <v>25</v>
      </c>
      <c r="K159" s="1" t="s">
        <v>41</v>
      </c>
      <c r="L159" s="1">
        <v>327</v>
      </c>
      <c r="M159" s="1">
        <v>109</v>
      </c>
      <c r="N159" s="1">
        <v>22</v>
      </c>
      <c r="O159" s="1" t="s">
        <v>42</v>
      </c>
      <c r="P159" s="1" t="s">
        <v>46</v>
      </c>
      <c r="Q159" s="1">
        <v>97</v>
      </c>
      <c r="R159" s="1" t="s">
        <v>47</v>
      </c>
      <c r="S159" s="1">
        <v>4348</v>
      </c>
      <c r="T159" s="5">
        <f>Tabela1[[#This Row],[investimento]]/Tabela1[[#This Row],[leads_gerados]]</f>
        <v>58.713207547169809</v>
      </c>
      <c r="U159" s="5">
        <f>VLOOKUP(Tabela1[[#This Row],[canal_aquisicao]],Tabela2[#All],2,0)</f>
        <v>23256.714285714286</v>
      </c>
      <c r="V159" s="1" t="str">
        <f t="shared" si="16"/>
        <v>Qualificado</v>
      </c>
      <c r="W159" s="1" t="str">
        <f>VLOOKUP(C159,Tabela5[#All],2,0)</f>
        <v>Awareness</v>
      </c>
      <c r="X159" s="14" t="str">
        <f t="shared" si="17"/>
        <v>Alto</v>
      </c>
      <c r="Y159" s="17" t="str">
        <f t="shared" si="18"/>
        <v>Baixo</v>
      </c>
      <c r="Z159" s="17" t="str">
        <f t="shared" si="19"/>
        <v>Jovem</v>
      </c>
      <c r="AA159" s="17" t="str">
        <f>IF($AG$10&gt;=Tabela1[[#This Row],[investimento]]&gt;=$AG$11,"OK","Outlier")</f>
        <v>OK</v>
      </c>
      <c r="AB159" s="17" t="str">
        <f>IF($AG$17&gt;=Tabela1[[#This Row],[visitantes]]&gt;=$AG$18,"OK","Outlier")</f>
        <v>OK</v>
      </c>
      <c r="AC159" s="17" t="str">
        <f>IF($AG$24&gt;=Tabela1[[#This Row],[leads_gerados]]&gt;=$AG$25,"OK","Outlier")</f>
        <v>OK</v>
      </c>
      <c r="AD159" s="17" t="str">
        <f>IF($AG$31&gt;=Tabela1[[#This Row],[ltv_estimado]]&gt;=$AG$32,"OK","Outlier")</f>
        <v>OK</v>
      </c>
      <c r="AE159" s="17"/>
    </row>
    <row r="160" spans="1:31" ht="15.75" customHeight="1" x14ac:dyDescent="0.25">
      <c r="A160" s="1" t="s">
        <v>133</v>
      </c>
      <c r="B160" s="2">
        <v>45317</v>
      </c>
      <c r="C160" s="1" t="s">
        <v>21</v>
      </c>
      <c r="D160" s="1" t="s">
        <v>32</v>
      </c>
      <c r="E160" s="1" t="s">
        <v>24</v>
      </c>
      <c r="F160" s="1">
        <v>17284</v>
      </c>
      <c r="G160" s="1">
        <v>3408</v>
      </c>
      <c r="H160" s="1">
        <v>163</v>
      </c>
      <c r="I160" s="1" t="s">
        <v>34</v>
      </c>
      <c r="J160" s="1">
        <v>32</v>
      </c>
      <c r="K160" s="1" t="s">
        <v>25</v>
      </c>
      <c r="L160" s="1">
        <v>0</v>
      </c>
      <c r="M160" s="1">
        <v>0</v>
      </c>
      <c r="N160" s="1">
        <v>29</v>
      </c>
      <c r="O160" s="1" t="s">
        <v>42</v>
      </c>
      <c r="P160" s="1" t="s">
        <v>46</v>
      </c>
      <c r="Q160" s="1">
        <v>5</v>
      </c>
      <c r="R160" s="1" t="s">
        <v>37</v>
      </c>
      <c r="S160" s="1">
        <v>5338</v>
      </c>
      <c r="T160" s="5">
        <f>Tabela1[[#This Row],[investimento]]/Tabela1[[#This Row],[leads_gerados]]</f>
        <v>106.03680981595092</v>
      </c>
      <c r="U160" s="5">
        <f>VLOOKUP(Tabela1[[#This Row],[canal_aquisicao]],Tabela2[#All],2,0)</f>
        <v>18122.25</v>
      </c>
      <c r="V160" s="1" t="str">
        <f t="shared" si="16"/>
        <v>Não Qualificado</v>
      </c>
      <c r="W160" s="1" t="str">
        <f>VLOOKUP(C160,Tabela5[#All],2,0)</f>
        <v>Intenção de Compra</v>
      </c>
      <c r="X160" s="14" t="str">
        <f t="shared" si="17"/>
        <v>Baixo</v>
      </c>
      <c r="Y160" s="17" t="str">
        <f t="shared" si="18"/>
        <v>Sem Compra</v>
      </c>
      <c r="Z160" s="17" t="str">
        <f t="shared" si="19"/>
        <v>Adulto</v>
      </c>
      <c r="AA160" s="17" t="str">
        <f>IF($AG$10&gt;=Tabela1[[#This Row],[investimento]]&gt;=$AG$11,"OK","Outlier")</f>
        <v>OK</v>
      </c>
      <c r="AB160" s="17" t="str">
        <f>IF($AG$17&gt;=Tabela1[[#This Row],[visitantes]]&gt;=$AG$18,"OK","Outlier")</f>
        <v>OK</v>
      </c>
      <c r="AC160" s="17" t="str">
        <f>IF($AG$24&gt;=Tabela1[[#This Row],[leads_gerados]]&gt;=$AG$25,"OK","Outlier")</f>
        <v>OK</v>
      </c>
      <c r="AD160" s="17" t="str">
        <f>IF($AG$31&gt;=Tabela1[[#This Row],[ltv_estimado]]&gt;=$AG$32,"OK","Outlier")</f>
        <v>OK</v>
      </c>
      <c r="AE160" s="17"/>
    </row>
    <row r="161" spans="1:31" ht="15.75" customHeight="1" x14ac:dyDescent="0.25">
      <c r="A161" s="1" t="s">
        <v>30</v>
      </c>
      <c r="B161" s="2">
        <v>45589</v>
      </c>
      <c r="C161" s="1" t="s">
        <v>39</v>
      </c>
      <c r="D161" s="1" t="s">
        <v>32</v>
      </c>
      <c r="E161" s="1" t="s">
        <v>33</v>
      </c>
      <c r="F161" s="1">
        <v>5375</v>
      </c>
      <c r="G161" s="1">
        <v>163</v>
      </c>
      <c r="H161" s="1">
        <v>64</v>
      </c>
      <c r="I161" s="1" t="s">
        <v>55</v>
      </c>
      <c r="J161" s="1">
        <v>33</v>
      </c>
      <c r="K161" s="1" t="s">
        <v>25</v>
      </c>
      <c r="L161" s="1">
        <v>0</v>
      </c>
      <c r="M161" s="1">
        <v>0</v>
      </c>
      <c r="N161" s="1">
        <v>65</v>
      </c>
      <c r="O161" s="1" t="s">
        <v>26</v>
      </c>
      <c r="P161" s="1" t="s">
        <v>46</v>
      </c>
      <c r="Q161" s="1">
        <v>99</v>
      </c>
      <c r="R161" s="1" t="s">
        <v>37</v>
      </c>
      <c r="S161" s="1">
        <v>3688</v>
      </c>
      <c r="T161" s="5">
        <f>Tabela1[[#This Row],[investimento]]/Tabela1[[#This Row],[leads_gerados]]</f>
        <v>83.984375</v>
      </c>
      <c r="U161" s="5">
        <f>VLOOKUP(Tabela1[[#This Row],[canal_aquisicao]],Tabela2[#All],2,0)</f>
        <v>23256.714285714286</v>
      </c>
      <c r="V161" s="1" t="str">
        <f t="shared" si="16"/>
        <v>Qualificado</v>
      </c>
      <c r="W161" s="1" t="str">
        <f>VLOOKUP(C161,Tabela5[#All],2,0)</f>
        <v>Awareness</v>
      </c>
      <c r="X161" s="14" t="str">
        <f t="shared" si="17"/>
        <v>Alto</v>
      </c>
      <c r="Y161" s="17" t="str">
        <f t="shared" si="18"/>
        <v>Sem Compra</v>
      </c>
      <c r="Z161" s="17" t="str">
        <f t="shared" si="19"/>
        <v>Sênior</v>
      </c>
      <c r="AA161" s="17" t="str">
        <f>IF($AG$10&gt;=Tabela1[[#This Row],[investimento]]&gt;=$AG$11,"OK","Outlier")</f>
        <v>OK</v>
      </c>
      <c r="AB161" s="17" t="str">
        <f>IF($AG$17&gt;=Tabela1[[#This Row],[visitantes]]&gt;=$AG$18,"OK","Outlier")</f>
        <v>OK</v>
      </c>
      <c r="AC161" s="17" t="str">
        <f>IF($AG$24&gt;=Tabela1[[#This Row],[leads_gerados]]&gt;=$AG$25,"OK","Outlier")</f>
        <v>OK</v>
      </c>
      <c r="AD161" s="17" t="str">
        <f>IF($AG$31&gt;=Tabela1[[#This Row],[ltv_estimado]]&gt;=$AG$32,"OK","Outlier")</f>
        <v>OK</v>
      </c>
      <c r="AE161" s="17"/>
    </row>
    <row r="162" spans="1:31" ht="15.75" customHeight="1" x14ac:dyDescent="0.25">
      <c r="A162" s="1" t="s">
        <v>137</v>
      </c>
      <c r="B162" s="2">
        <v>45322</v>
      </c>
      <c r="C162" s="1" t="s">
        <v>21</v>
      </c>
      <c r="D162" s="1" t="s">
        <v>32</v>
      </c>
      <c r="E162" s="1" t="s">
        <v>23</v>
      </c>
      <c r="F162" s="1">
        <v>3581</v>
      </c>
      <c r="G162" s="1">
        <v>2442</v>
      </c>
      <c r="H162" s="1">
        <v>15</v>
      </c>
      <c r="I162" s="1" t="s">
        <v>63</v>
      </c>
      <c r="J162" s="1">
        <v>29</v>
      </c>
      <c r="K162" s="1" t="s">
        <v>25</v>
      </c>
      <c r="L162" s="1">
        <v>0</v>
      </c>
      <c r="M162" s="1">
        <v>0</v>
      </c>
      <c r="N162">
        <v>38</v>
      </c>
      <c r="O162" s="1" t="s">
        <v>26</v>
      </c>
      <c r="P162" s="1" t="s">
        <v>51</v>
      </c>
      <c r="Q162" s="1">
        <v>1</v>
      </c>
      <c r="R162" s="1" t="s">
        <v>29</v>
      </c>
      <c r="S162" s="1">
        <v>791</v>
      </c>
      <c r="T162" s="5">
        <f>Tabela1[[#This Row],[investimento]]/Tabela1[[#This Row],[leads_gerados]]</f>
        <v>238.73333333333332</v>
      </c>
      <c r="U162" s="5">
        <f>VLOOKUP(Tabela1[[#This Row],[canal_aquisicao]],Tabela2[#All],2,0)</f>
        <v>18122.25</v>
      </c>
      <c r="V162" s="1" t="str">
        <f t="shared" ref="V162:V181" si="20">IF(Q162&gt;=70,"Qualificado","Não Qualificado")</f>
        <v>Não Qualificado</v>
      </c>
      <c r="W162" s="1" t="str">
        <f>VLOOKUP(C162,Tabela5[#All],2,0)</f>
        <v>Intenção de Compra</v>
      </c>
      <c r="X162" s="14" t="str">
        <f t="shared" ref="X162:X181" si="21">IF(Q162&gt;=70, "Alto", IF(Q162&gt;=40, "Médio", "Baixo"))</f>
        <v>Baixo</v>
      </c>
      <c r="Y162" s="17" t="str">
        <f t="shared" ref="Y162:Y181" si="22">IF(M162=0, "Sem Compra", IF(M162&gt;=400, "Alto", IF(M162&gt;=150, "Médio", "Baixo")))</f>
        <v>Sem Compra</v>
      </c>
      <c r="Z162" s="17" t="str">
        <f t="shared" ref="Z162:Z181" si="23">IF(N162&gt;=18,IF(N162&lt;=25,"Jovem",IF(N162&lt;=40,"Adulto","Sênior")),"")</f>
        <v>Adulto</v>
      </c>
      <c r="AA162" s="17" t="str">
        <f>IF($AG$10&gt;=Tabela1[[#This Row],[investimento]]&gt;=$AG$11,"OK","Outlier")</f>
        <v>OK</v>
      </c>
      <c r="AB162" s="17" t="str">
        <f>IF($AG$17&gt;=Tabela1[[#This Row],[visitantes]]&gt;=$AG$18,"OK","Outlier")</f>
        <v>OK</v>
      </c>
      <c r="AC162" s="17" t="str">
        <f>IF($AG$24&gt;=Tabela1[[#This Row],[leads_gerados]]&gt;=$AG$25,"OK","Outlier")</f>
        <v>OK</v>
      </c>
      <c r="AD162" s="17" t="str">
        <f>IF($AG$31&gt;=Tabela1[[#This Row],[ltv_estimado]]&gt;=$AG$32,"OK","Outlier")</f>
        <v>OK</v>
      </c>
      <c r="AE162" s="17"/>
    </row>
    <row r="163" spans="1:31" ht="15.75" customHeight="1" x14ac:dyDescent="0.25">
      <c r="A163" s="1" t="s">
        <v>88</v>
      </c>
      <c r="B163" s="2">
        <v>45559</v>
      </c>
      <c r="C163" s="1" t="s">
        <v>39</v>
      </c>
      <c r="D163" s="1" t="s">
        <v>32</v>
      </c>
      <c r="E163" s="1" t="s">
        <v>23</v>
      </c>
      <c r="F163" s="1">
        <v>6112</v>
      </c>
      <c r="G163" s="1">
        <v>3933</v>
      </c>
      <c r="H163" s="1">
        <v>30</v>
      </c>
      <c r="I163" s="1" t="s">
        <v>40</v>
      </c>
      <c r="J163" s="1">
        <v>19</v>
      </c>
      <c r="K163" s="1" t="s">
        <v>25</v>
      </c>
      <c r="L163" s="1">
        <v>0</v>
      </c>
      <c r="M163" s="1">
        <v>0</v>
      </c>
      <c r="N163" s="1">
        <v>28</v>
      </c>
      <c r="O163" s="1" t="s">
        <v>26</v>
      </c>
      <c r="P163" s="1" t="s">
        <v>59</v>
      </c>
      <c r="Q163" s="1">
        <v>21</v>
      </c>
      <c r="R163" s="1" t="s">
        <v>47</v>
      </c>
      <c r="S163" s="1">
        <v>4722</v>
      </c>
      <c r="T163" s="5">
        <f>Tabela1[[#This Row],[investimento]]/Tabela1[[#This Row],[leads_gerados]]</f>
        <v>203.73333333333332</v>
      </c>
      <c r="U163" s="5">
        <f>VLOOKUP(Tabela1[[#This Row],[canal_aquisicao]],Tabela2[#All],2,0)</f>
        <v>23256.714285714286</v>
      </c>
      <c r="V163" s="1" t="str">
        <f t="shared" si="20"/>
        <v>Não Qualificado</v>
      </c>
      <c r="W163" s="1" t="str">
        <f>VLOOKUP(C163,Tabela5[#All],2,0)</f>
        <v>Awareness</v>
      </c>
      <c r="X163" s="14" t="str">
        <f t="shared" si="21"/>
        <v>Baixo</v>
      </c>
      <c r="Y163" s="17" t="str">
        <f t="shared" si="22"/>
        <v>Sem Compra</v>
      </c>
      <c r="Z163" s="17" t="str">
        <f t="shared" si="23"/>
        <v>Adulto</v>
      </c>
      <c r="AA163" s="17" t="str">
        <f>IF($AG$10&gt;=Tabela1[[#This Row],[investimento]]&gt;=$AG$11,"OK","Outlier")</f>
        <v>OK</v>
      </c>
      <c r="AB163" s="17" t="str">
        <f>IF($AG$17&gt;=Tabela1[[#This Row],[visitantes]]&gt;=$AG$18,"OK","Outlier")</f>
        <v>OK</v>
      </c>
      <c r="AC163" s="17" t="str">
        <f>IF($AG$24&gt;=Tabela1[[#This Row],[leads_gerados]]&gt;=$AG$25,"OK","Outlier")</f>
        <v>OK</v>
      </c>
      <c r="AD163" s="17" t="str">
        <f>IF($AG$31&gt;=Tabela1[[#This Row],[ltv_estimado]]&gt;=$AG$32,"OK","Outlier")</f>
        <v>OK</v>
      </c>
      <c r="AE163" s="17"/>
    </row>
    <row r="164" spans="1:31" ht="15.75" customHeight="1" x14ac:dyDescent="0.25">
      <c r="A164" s="1" t="s">
        <v>138</v>
      </c>
      <c r="B164" s="2">
        <v>45617</v>
      </c>
      <c r="C164" s="1" t="s">
        <v>31</v>
      </c>
      <c r="D164" s="1" t="s">
        <v>32</v>
      </c>
      <c r="E164" s="1" t="s">
        <v>50</v>
      </c>
      <c r="F164" s="1">
        <v>18983</v>
      </c>
      <c r="G164" s="1">
        <v>1800</v>
      </c>
      <c r="H164" s="1">
        <v>161</v>
      </c>
      <c r="I164" s="1" t="s">
        <v>34</v>
      </c>
      <c r="J164" s="1">
        <v>8</v>
      </c>
      <c r="K164" s="1" t="s">
        <v>41</v>
      </c>
      <c r="L164" s="1">
        <v>341</v>
      </c>
      <c r="M164" s="1">
        <v>170.5</v>
      </c>
      <c r="N164" s="1">
        <v>62</v>
      </c>
      <c r="O164" s="1" t="s">
        <v>42</v>
      </c>
      <c r="P164" s="1" t="s">
        <v>46</v>
      </c>
      <c r="Q164" s="1">
        <v>26</v>
      </c>
      <c r="R164" s="1" t="s">
        <v>37</v>
      </c>
      <c r="S164" s="1">
        <v>1057</v>
      </c>
      <c r="T164" s="5">
        <f>Tabela1[[#This Row],[investimento]]/Tabela1[[#This Row],[leads_gerados]]</f>
        <v>117.90683229813665</v>
      </c>
      <c r="U164" s="5">
        <f>VLOOKUP(Tabela1[[#This Row],[canal_aquisicao]],Tabela2[#All],2,0)</f>
        <v>20204</v>
      </c>
      <c r="V164" s="1" t="str">
        <f t="shared" si="20"/>
        <v>Não Qualificado</v>
      </c>
      <c r="W164" s="1" t="str">
        <f>VLOOKUP(C164,Tabela5[#All],2,0)</f>
        <v>Intenção de Compra</v>
      </c>
      <c r="X164" s="14" t="str">
        <f t="shared" si="21"/>
        <v>Baixo</v>
      </c>
      <c r="Y164" s="17" t="str">
        <f t="shared" si="22"/>
        <v>Médio</v>
      </c>
      <c r="Z164" s="17" t="str">
        <f t="shared" si="23"/>
        <v>Sênior</v>
      </c>
      <c r="AA164" s="17" t="str">
        <f>IF($AG$10&gt;=Tabela1[[#This Row],[investimento]]&gt;=$AG$11,"OK","Outlier")</f>
        <v>OK</v>
      </c>
      <c r="AB164" s="17" t="str">
        <f>IF($AG$17&gt;=Tabela1[[#This Row],[visitantes]]&gt;=$AG$18,"OK","Outlier")</f>
        <v>OK</v>
      </c>
      <c r="AC164" s="17" t="str">
        <f>IF($AG$24&gt;=Tabela1[[#This Row],[leads_gerados]]&gt;=$AG$25,"OK","Outlier")</f>
        <v>OK</v>
      </c>
      <c r="AD164" s="17" t="str">
        <f>IF($AG$31&gt;=Tabela1[[#This Row],[ltv_estimado]]&gt;=$AG$32,"OK","Outlier")</f>
        <v>OK</v>
      </c>
      <c r="AE164" s="17"/>
    </row>
    <row r="165" spans="1:31" ht="15.75" customHeight="1" x14ac:dyDescent="0.25">
      <c r="A165" s="1" t="s">
        <v>139</v>
      </c>
      <c r="B165" s="2">
        <v>45341</v>
      </c>
      <c r="C165" s="1" t="s">
        <v>54</v>
      </c>
      <c r="D165" s="1" t="s">
        <v>32</v>
      </c>
      <c r="E165" s="1" t="s">
        <v>50</v>
      </c>
      <c r="F165" s="1">
        <v>14533</v>
      </c>
      <c r="G165" s="1">
        <v>2919</v>
      </c>
      <c r="H165" s="1">
        <v>200</v>
      </c>
      <c r="I165" s="1" t="s">
        <v>63</v>
      </c>
      <c r="J165" s="1">
        <v>7</v>
      </c>
      <c r="K165" s="1" t="s">
        <v>25</v>
      </c>
      <c r="L165" s="1">
        <v>0</v>
      </c>
      <c r="M165" s="1">
        <v>0</v>
      </c>
      <c r="N165">
        <v>40</v>
      </c>
      <c r="O165" s="1" t="s">
        <v>42</v>
      </c>
      <c r="P165" s="1" t="s">
        <v>35</v>
      </c>
      <c r="Q165" s="1">
        <v>87</v>
      </c>
      <c r="R165" s="1" t="s">
        <v>37</v>
      </c>
      <c r="S165" s="1">
        <v>2102</v>
      </c>
      <c r="T165" s="5">
        <f>Tabela1[[#This Row],[investimento]]/Tabela1[[#This Row],[leads_gerados]]</f>
        <v>72.665000000000006</v>
      </c>
      <c r="U165" s="5">
        <f>VLOOKUP(Tabela1[[#This Row],[canal_aquisicao]],Tabela2[#All],2,0)</f>
        <v>23467.142857142859</v>
      </c>
      <c r="V165" s="1" t="str">
        <f t="shared" si="20"/>
        <v>Qualificado</v>
      </c>
      <c r="W165" s="1" t="str">
        <f>VLOOKUP(C165,Tabela5[#All],2,0)</f>
        <v>Awareness</v>
      </c>
      <c r="X165" s="14" t="str">
        <f t="shared" si="21"/>
        <v>Alto</v>
      </c>
      <c r="Y165" s="17" t="str">
        <f t="shared" si="22"/>
        <v>Sem Compra</v>
      </c>
      <c r="Z165" s="17" t="str">
        <f t="shared" si="23"/>
        <v>Adulto</v>
      </c>
      <c r="AA165" s="17" t="str">
        <f>IF($AG$10&gt;=Tabela1[[#This Row],[investimento]]&gt;=$AG$11,"OK","Outlier")</f>
        <v>OK</v>
      </c>
      <c r="AB165" s="17" t="str">
        <f>IF($AG$17&gt;=Tabela1[[#This Row],[visitantes]]&gt;=$AG$18,"OK","Outlier")</f>
        <v>OK</v>
      </c>
      <c r="AC165" s="17" t="str">
        <f>IF($AG$24&gt;=Tabela1[[#This Row],[leads_gerados]]&gt;=$AG$25,"OK","Outlier")</f>
        <v>OK</v>
      </c>
      <c r="AD165" s="17" t="str">
        <f>IF($AG$31&gt;=Tabela1[[#This Row],[ltv_estimado]]&gt;=$AG$32,"OK","Outlier")</f>
        <v>OK</v>
      </c>
      <c r="AE165" s="17"/>
    </row>
    <row r="166" spans="1:31" ht="15.75" customHeight="1" x14ac:dyDescent="0.25">
      <c r="A166" s="1" t="s">
        <v>68</v>
      </c>
      <c r="B166" s="2">
        <v>45578</v>
      </c>
      <c r="C166" s="1" t="s">
        <v>39</v>
      </c>
      <c r="D166" s="1" t="s">
        <v>32</v>
      </c>
      <c r="E166" s="1" t="s">
        <v>24</v>
      </c>
      <c r="F166" s="1">
        <v>18678</v>
      </c>
      <c r="G166" s="1">
        <v>533</v>
      </c>
      <c r="H166" s="1">
        <v>170</v>
      </c>
      <c r="I166" s="1" t="s">
        <v>40</v>
      </c>
      <c r="J166" s="1">
        <v>40</v>
      </c>
      <c r="K166" s="1" t="s">
        <v>25</v>
      </c>
      <c r="L166" s="1">
        <v>0</v>
      </c>
      <c r="M166" s="1">
        <v>0</v>
      </c>
      <c r="N166">
        <v>40</v>
      </c>
      <c r="O166" s="1" t="s">
        <v>42</v>
      </c>
      <c r="P166" s="1" t="s">
        <v>46</v>
      </c>
      <c r="Q166" s="1">
        <v>43</v>
      </c>
      <c r="R166" s="1" t="s">
        <v>47</v>
      </c>
      <c r="S166" s="1">
        <v>801</v>
      </c>
      <c r="T166" s="5">
        <f>Tabela1[[#This Row],[investimento]]/Tabela1[[#This Row],[leads_gerados]]</f>
        <v>109.87058823529412</v>
      </c>
      <c r="U166" s="5">
        <f>VLOOKUP(Tabela1[[#This Row],[canal_aquisicao]],Tabela2[#All],2,0)</f>
        <v>23256.714285714286</v>
      </c>
      <c r="V166" s="1" t="str">
        <f t="shared" si="20"/>
        <v>Não Qualificado</v>
      </c>
      <c r="W166" s="1" t="str">
        <f>VLOOKUP(C166,Tabela5[#All],2,0)</f>
        <v>Awareness</v>
      </c>
      <c r="X166" s="14" t="str">
        <f t="shared" si="21"/>
        <v>Médio</v>
      </c>
      <c r="Y166" s="17" t="str">
        <f t="shared" si="22"/>
        <v>Sem Compra</v>
      </c>
      <c r="Z166" s="17" t="str">
        <f t="shared" si="23"/>
        <v>Adulto</v>
      </c>
      <c r="AA166" s="17" t="str">
        <f>IF($AG$10&gt;=Tabela1[[#This Row],[investimento]]&gt;=$AG$11,"OK","Outlier")</f>
        <v>OK</v>
      </c>
      <c r="AB166" s="17" t="str">
        <f>IF($AG$17&gt;=Tabela1[[#This Row],[visitantes]]&gt;=$AG$18,"OK","Outlier")</f>
        <v>OK</v>
      </c>
      <c r="AC166" s="17" t="str">
        <f>IF($AG$24&gt;=Tabela1[[#This Row],[leads_gerados]]&gt;=$AG$25,"OK","Outlier")</f>
        <v>OK</v>
      </c>
      <c r="AD166" s="17" t="str">
        <f>IF($AG$31&gt;=Tabela1[[#This Row],[ltv_estimado]]&gt;=$AG$32,"OK","Outlier")</f>
        <v>OK</v>
      </c>
      <c r="AE166" s="17"/>
    </row>
    <row r="167" spans="1:31" ht="15.75" customHeight="1" x14ac:dyDescent="0.25">
      <c r="A167" s="1" t="s">
        <v>138</v>
      </c>
      <c r="B167" s="2">
        <v>45677</v>
      </c>
      <c r="C167" s="1" t="s">
        <v>31</v>
      </c>
      <c r="D167" s="1" t="s">
        <v>32</v>
      </c>
      <c r="E167" s="1" t="s">
        <v>23</v>
      </c>
      <c r="F167" s="1">
        <v>4675</v>
      </c>
      <c r="G167" s="1">
        <v>1049</v>
      </c>
      <c r="H167" s="1">
        <v>243</v>
      </c>
      <c r="I167" s="1" t="s">
        <v>55</v>
      </c>
      <c r="J167" s="1">
        <v>6</v>
      </c>
      <c r="K167" s="1" t="s">
        <v>41</v>
      </c>
      <c r="L167" s="1">
        <v>610</v>
      </c>
      <c r="M167" s="1">
        <v>203.33</v>
      </c>
      <c r="N167">
        <v>40</v>
      </c>
      <c r="O167" s="1" t="s">
        <v>42</v>
      </c>
      <c r="P167" s="1" t="s">
        <v>51</v>
      </c>
      <c r="Q167" s="1">
        <v>41</v>
      </c>
      <c r="R167" s="1" t="s">
        <v>37</v>
      </c>
      <c r="S167" s="1">
        <v>2590</v>
      </c>
      <c r="T167" s="5">
        <f>Tabela1[[#This Row],[investimento]]/Tabela1[[#This Row],[leads_gerados]]</f>
        <v>19.238683127572017</v>
      </c>
      <c r="U167" s="5">
        <f>VLOOKUP(Tabela1[[#This Row],[canal_aquisicao]],Tabela2[#All],2,0)</f>
        <v>20204</v>
      </c>
      <c r="V167" s="1" t="str">
        <f t="shared" si="20"/>
        <v>Não Qualificado</v>
      </c>
      <c r="W167" s="1" t="str">
        <f>VLOOKUP(C167,Tabela5[#All],2,0)</f>
        <v>Intenção de Compra</v>
      </c>
      <c r="X167" s="14" t="str">
        <f t="shared" si="21"/>
        <v>Médio</v>
      </c>
      <c r="Y167" s="17" t="str">
        <f t="shared" si="22"/>
        <v>Médio</v>
      </c>
      <c r="Z167" s="17" t="str">
        <f t="shared" si="23"/>
        <v>Adulto</v>
      </c>
      <c r="AA167" s="17" t="str">
        <f>IF($AG$10&gt;=Tabela1[[#This Row],[investimento]]&gt;=$AG$11,"OK","Outlier")</f>
        <v>OK</v>
      </c>
      <c r="AB167" s="17" t="str">
        <f>IF($AG$17&gt;=Tabela1[[#This Row],[visitantes]]&gt;=$AG$18,"OK","Outlier")</f>
        <v>OK</v>
      </c>
      <c r="AC167" s="17" t="str">
        <f>IF($AG$24&gt;=Tabela1[[#This Row],[leads_gerados]]&gt;=$AG$25,"OK","Outlier")</f>
        <v>OK</v>
      </c>
      <c r="AD167" s="17" t="str">
        <f>IF($AG$31&gt;=Tabela1[[#This Row],[ltv_estimado]]&gt;=$AG$32,"OK","Outlier")</f>
        <v>OK</v>
      </c>
      <c r="AE167" s="17"/>
    </row>
    <row r="168" spans="1:31" ht="15.75" customHeight="1" x14ac:dyDescent="0.25">
      <c r="A168" s="1" t="s">
        <v>131</v>
      </c>
      <c r="B168" s="2">
        <v>45447</v>
      </c>
      <c r="C168" s="1" t="s">
        <v>54</v>
      </c>
      <c r="D168" s="1" t="s">
        <v>32</v>
      </c>
      <c r="E168" s="1" t="s">
        <v>33</v>
      </c>
      <c r="F168" s="1">
        <v>10349</v>
      </c>
      <c r="G168" s="1">
        <v>2013</v>
      </c>
      <c r="H168" s="1">
        <v>234</v>
      </c>
      <c r="I168" s="1" t="s">
        <v>58</v>
      </c>
      <c r="J168" s="1">
        <v>17</v>
      </c>
      <c r="K168" s="1" t="s">
        <v>25</v>
      </c>
      <c r="L168" s="1">
        <v>0</v>
      </c>
      <c r="M168" s="1">
        <v>0</v>
      </c>
      <c r="N168" s="1">
        <v>44</v>
      </c>
      <c r="O168" s="1" t="s">
        <v>26</v>
      </c>
      <c r="P168" s="1" t="s">
        <v>46</v>
      </c>
      <c r="Q168" s="1">
        <v>98</v>
      </c>
      <c r="R168" s="1" t="s">
        <v>29</v>
      </c>
      <c r="S168" s="1">
        <v>2091</v>
      </c>
      <c r="T168" s="5">
        <f>Tabela1[[#This Row],[investimento]]/Tabela1[[#This Row],[leads_gerados]]</f>
        <v>44.226495726495727</v>
      </c>
      <c r="U168" s="5">
        <f>VLOOKUP(Tabela1[[#This Row],[canal_aquisicao]],Tabela2[#All],2,0)</f>
        <v>23467.142857142859</v>
      </c>
      <c r="V168" s="1" t="str">
        <f t="shared" si="20"/>
        <v>Qualificado</v>
      </c>
      <c r="W168" s="1" t="str">
        <f>VLOOKUP(C168,Tabela5[#All],2,0)</f>
        <v>Awareness</v>
      </c>
      <c r="X168" s="14" t="str">
        <f t="shared" si="21"/>
        <v>Alto</v>
      </c>
      <c r="Y168" s="17" t="str">
        <f t="shared" si="22"/>
        <v>Sem Compra</v>
      </c>
      <c r="Z168" s="17" t="str">
        <f t="shared" si="23"/>
        <v>Sênior</v>
      </c>
      <c r="AA168" s="17" t="str">
        <f>IF($AG$10&gt;=Tabela1[[#This Row],[investimento]]&gt;=$AG$11,"OK","Outlier")</f>
        <v>OK</v>
      </c>
      <c r="AB168" s="17" t="str">
        <f>IF($AG$17&gt;=Tabela1[[#This Row],[visitantes]]&gt;=$AG$18,"OK","Outlier")</f>
        <v>OK</v>
      </c>
      <c r="AC168" s="17" t="str">
        <f>IF($AG$24&gt;=Tabela1[[#This Row],[leads_gerados]]&gt;=$AG$25,"OK","Outlier")</f>
        <v>OK</v>
      </c>
      <c r="AD168" s="17" t="str">
        <f>IF($AG$31&gt;=Tabela1[[#This Row],[ltv_estimado]]&gt;=$AG$32,"OK","Outlier")</f>
        <v>OK</v>
      </c>
      <c r="AE168" s="17"/>
    </row>
    <row r="169" spans="1:31" ht="15.75" customHeight="1" x14ac:dyDescent="0.25">
      <c r="A169" s="1" t="s">
        <v>144</v>
      </c>
      <c r="B169" s="2">
        <v>45421</v>
      </c>
      <c r="C169" s="1" t="s">
        <v>31</v>
      </c>
      <c r="D169" s="1" t="s">
        <v>32</v>
      </c>
      <c r="E169" s="1" t="s">
        <v>33</v>
      </c>
      <c r="F169" s="1">
        <v>6322</v>
      </c>
      <c r="G169" s="1">
        <v>1211</v>
      </c>
      <c r="H169" s="1">
        <v>279</v>
      </c>
      <c r="I169" s="1" t="s">
        <v>58</v>
      </c>
      <c r="J169" s="1">
        <v>8</v>
      </c>
      <c r="K169" s="1" t="s">
        <v>25</v>
      </c>
      <c r="L169" s="1">
        <v>0</v>
      </c>
      <c r="M169" s="1">
        <v>0</v>
      </c>
      <c r="N169" s="1">
        <v>20</v>
      </c>
      <c r="O169" s="1" t="s">
        <v>42</v>
      </c>
      <c r="P169" s="1" t="s">
        <v>46</v>
      </c>
      <c r="Q169" s="1">
        <v>89</v>
      </c>
      <c r="R169" s="1" t="s">
        <v>47</v>
      </c>
      <c r="S169" s="1">
        <v>1863</v>
      </c>
      <c r="T169" s="5">
        <f>Tabela1[[#This Row],[investimento]]/Tabela1[[#This Row],[leads_gerados]]</f>
        <v>22.659498207885303</v>
      </c>
      <c r="U169" s="5">
        <f>VLOOKUP(Tabela1[[#This Row],[canal_aquisicao]],Tabela2[#All],2,0)</f>
        <v>20204</v>
      </c>
      <c r="V169" s="1" t="str">
        <f t="shared" si="20"/>
        <v>Qualificado</v>
      </c>
      <c r="W169" s="1" t="str">
        <f>VLOOKUP(C169,Tabela5[#All],2,0)</f>
        <v>Intenção de Compra</v>
      </c>
      <c r="X169" s="14" t="str">
        <f t="shared" si="21"/>
        <v>Alto</v>
      </c>
      <c r="Y169" s="17" t="str">
        <f t="shared" si="22"/>
        <v>Sem Compra</v>
      </c>
      <c r="Z169" s="17" t="str">
        <f t="shared" si="23"/>
        <v>Jovem</v>
      </c>
      <c r="AA169" s="17" t="str">
        <f>IF($AG$10&gt;=Tabela1[[#This Row],[investimento]]&gt;=$AG$11,"OK","Outlier")</f>
        <v>OK</v>
      </c>
      <c r="AB169" s="17" t="str">
        <f>IF($AG$17&gt;=Tabela1[[#This Row],[visitantes]]&gt;=$AG$18,"OK","Outlier")</f>
        <v>OK</v>
      </c>
      <c r="AC169" s="17" t="str">
        <f>IF($AG$24&gt;=Tabela1[[#This Row],[leads_gerados]]&gt;=$AG$25,"OK","Outlier")</f>
        <v>OK</v>
      </c>
      <c r="AD169" s="17" t="str">
        <f>IF($AG$31&gt;=Tabela1[[#This Row],[ltv_estimado]]&gt;=$AG$32,"OK","Outlier")</f>
        <v>OK</v>
      </c>
      <c r="AE169" s="17"/>
    </row>
    <row r="170" spans="1:31" ht="15.75" customHeight="1" x14ac:dyDescent="0.25">
      <c r="A170" s="1" t="s">
        <v>148</v>
      </c>
      <c r="B170" s="2">
        <v>45652</v>
      </c>
      <c r="C170" s="1" t="s">
        <v>54</v>
      </c>
      <c r="D170" s="1" t="s">
        <v>32</v>
      </c>
      <c r="E170" s="1" t="s">
        <v>24</v>
      </c>
      <c r="F170" s="1">
        <v>1694</v>
      </c>
      <c r="G170" s="1">
        <v>313</v>
      </c>
      <c r="H170" s="1">
        <v>269</v>
      </c>
      <c r="I170" s="1" t="s">
        <v>34</v>
      </c>
      <c r="J170" s="1">
        <v>34</v>
      </c>
      <c r="K170" s="1" t="s">
        <v>41</v>
      </c>
      <c r="L170" s="1">
        <v>835</v>
      </c>
      <c r="M170" s="1">
        <v>835</v>
      </c>
      <c r="N170">
        <v>40</v>
      </c>
      <c r="O170" s="1" t="s">
        <v>42</v>
      </c>
      <c r="P170" s="1" t="s">
        <v>46</v>
      </c>
      <c r="Q170" s="1">
        <v>65</v>
      </c>
      <c r="R170" s="1" t="s">
        <v>37</v>
      </c>
      <c r="S170" s="1">
        <v>4181</v>
      </c>
      <c r="T170" s="5">
        <f>Tabela1[[#This Row],[investimento]]/Tabela1[[#This Row],[leads_gerados]]</f>
        <v>6.2973977695167287</v>
      </c>
      <c r="U170" s="5">
        <f>VLOOKUP(Tabela1[[#This Row],[canal_aquisicao]],Tabela2[#All],2,0)</f>
        <v>23467.142857142859</v>
      </c>
      <c r="V170" s="1" t="str">
        <f t="shared" si="20"/>
        <v>Não Qualificado</v>
      </c>
      <c r="W170" s="1" t="str">
        <f>VLOOKUP(C170,Tabela5[#All],2,0)</f>
        <v>Awareness</v>
      </c>
      <c r="X170" s="14" t="str">
        <f t="shared" si="21"/>
        <v>Médio</v>
      </c>
      <c r="Y170" s="17" t="str">
        <f t="shared" si="22"/>
        <v>Alto</v>
      </c>
      <c r="Z170" s="17" t="str">
        <f t="shared" si="23"/>
        <v>Adulto</v>
      </c>
      <c r="AA170" s="17" t="str">
        <f>IF($AG$10&gt;=Tabela1[[#This Row],[investimento]]&gt;=$AG$11,"OK","Outlier")</f>
        <v>OK</v>
      </c>
      <c r="AB170" s="17" t="str">
        <f>IF($AG$17&gt;=Tabela1[[#This Row],[visitantes]]&gt;=$AG$18,"OK","Outlier")</f>
        <v>OK</v>
      </c>
      <c r="AC170" s="17" t="str">
        <f>IF($AG$24&gt;=Tabela1[[#This Row],[leads_gerados]]&gt;=$AG$25,"OK","Outlier")</f>
        <v>OK</v>
      </c>
      <c r="AD170" s="17" t="str">
        <f>IF($AG$31&gt;=Tabela1[[#This Row],[ltv_estimado]]&gt;=$AG$32,"OK","Outlier")</f>
        <v>OK</v>
      </c>
      <c r="AE170" s="17"/>
    </row>
    <row r="171" spans="1:31" ht="15.75" customHeight="1" x14ac:dyDescent="0.25">
      <c r="A171" s="1" t="s">
        <v>149</v>
      </c>
      <c r="B171" s="2">
        <v>45554</v>
      </c>
      <c r="C171" s="1" t="s">
        <v>39</v>
      </c>
      <c r="D171" s="1" t="s">
        <v>32</v>
      </c>
      <c r="E171" s="1" t="s">
        <v>50</v>
      </c>
      <c r="F171" s="1">
        <v>11053</v>
      </c>
      <c r="G171" s="1">
        <v>633</v>
      </c>
      <c r="H171" s="1">
        <v>184</v>
      </c>
      <c r="I171" s="1" t="s">
        <v>40</v>
      </c>
      <c r="J171" s="1">
        <v>17</v>
      </c>
      <c r="K171" s="1" t="s">
        <v>25</v>
      </c>
      <c r="L171" s="1">
        <v>0</v>
      </c>
      <c r="M171" s="1">
        <v>0</v>
      </c>
      <c r="N171">
        <v>40</v>
      </c>
      <c r="O171" s="1" t="s">
        <v>42</v>
      </c>
      <c r="P171" s="1" t="s">
        <v>51</v>
      </c>
      <c r="Q171" s="1">
        <v>66</v>
      </c>
      <c r="R171" s="1" t="s">
        <v>47</v>
      </c>
      <c r="S171" s="1">
        <v>4887</v>
      </c>
      <c r="T171" s="5">
        <f>Tabela1[[#This Row],[investimento]]/Tabela1[[#This Row],[leads_gerados]]</f>
        <v>60.070652173913047</v>
      </c>
      <c r="U171" s="5">
        <f>VLOOKUP(Tabela1[[#This Row],[canal_aquisicao]],Tabela2[#All],2,0)</f>
        <v>23256.714285714286</v>
      </c>
      <c r="V171" s="1" t="str">
        <f t="shared" si="20"/>
        <v>Não Qualificado</v>
      </c>
      <c r="W171" s="1" t="str">
        <f>VLOOKUP(C171,Tabela5[#All],2,0)</f>
        <v>Awareness</v>
      </c>
      <c r="X171" s="14" t="str">
        <f t="shared" si="21"/>
        <v>Médio</v>
      </c>
      <c r="Y171" s="17" t="str">
        <f t="shared" si="22"/>
        <v>Sem Compra</v>
      </c>
      <c r="Z171" s="17" t="str">
        <f t="shared" si="23"/>
        <v>Adulto</v>
      </c>
      <c r="AA171" s="17" t="str">
        <f>IF($AG$10&gt;=Tabela1[[#This Row],[investimento]]&gt;=$AG$11,"OK","Outlier")</f>
        <v>OK</v>
      </c>
      <c r="AB171" s="17" t="str">
        <f>IF($AG$17&gt;=Tabela1[[#This Row],[visitantes]]&gt;=$AG$18,"OK","Outlier")</f>
        <v>OK</v>
      </c>
      <c r="AC171" s="17" t="str">
        <f>IF($AG$24&gt;=Tabela1[[#This Row],[leads_gerados]]&gt;=$AG$25,"OK","Outlier")</f>
        <v>OK</v>
      </c>
      <c r="AD171" s="17" t="str">
        <f>IF($AG$31&gt;=Tabela1[[#This Row],[ltv_estimado]]&gt;=$AG$32,"OK","Outlier")</f>
        <v>OK</v>
      </c>
      <c r="AE171" s="17"/>
    </row>
    <row r="172" spans="1:31" ht="15.75" customHeight="1" x14ac:dyDescent="0.25">
      <c r="A172" s="1" t="s">
        <v>98</v>
      </c>
      <c r="B172" s="2">
        <v>45705</v>
      </c>
      <c r="C172" s="1" t="s">
        <v>57</v>
      </c>
      <c r="D172" s="1" t="s">
        <v>32</v>
      </c>
      <c r="E172" s="1" t="s">
        <v>24</v>
      </c>
      <c r="F172" s="1">
        <v>10214</v>
      </c>
      <c r="G172" s="1">
        <v>4362</v>
      </c>
      <c r="H172" s="1">
        <v>76</v>
      </c>
      <c r="I172" s="1" t="s">
        <v>40</v>
      </c>
      <c r="J172" s="1">
        <v>6</v>
      </c>
      <c r="K172" s="1" t="s">
        <v>25</v>
      </c>
      <c r="L172" s="1">
        <v>0</v>
      </c>
      <c r="M172" s="1">
        <v>0</v>
      </c>
      <c r="N172" s="1">
        <v>30</v>
      </c>
      <c r="O172" s="1" t="s">
        <v>42</v>
      </c>
      <c r="P172" s="1" t="s">
        <v>46</v>
      </c>
      <c r="Q172" s="1">
        <v>35</v>
      </c>
      <c r="R172" s="1" t="s">
        <v>47</v>
      </c>
      <c r="S172" s="1">
        <v>5658</v>
      </c>
      <c r="T172" s="5">
        <f>Tabela1[[#This Row],[investimento]]/Tabela1[[#This Row],[leads_gerados]]</f>
        <v>134.39473684210526</v>
      </c>
      <c r="U172" s="5">
        <f>VLOOKUP(Tabela1[[#This Row],[canal_aquisicao]],Tabela2[#All],2,0)</f>
        <v>22207.375</v>
      </c>
      <c r="V172" s="1" t="str">
        <f t="shared" si="20"/>
        <v>Não Qualificado</v>
      </c>
      <c r="W172" s="1" t="str">
        <f>VLOOKUP(C172,Tabela5[#All],2,0)</f>
        <v>Intenção de Compra</v>
      </c>
      <c r="X172" s="14" t="str">
        <f t="shared" si="21"/>
        <v>Baixo</v>
      </c>
      <c r="Y172" s="17" t="str">
        <f t="shared" si="22"/>
        <v>Sem Compra</v>
      </c>
      <c r="Z172" s="17" t="str">
        <f t="shared" si="23"/>
        <v>Adulto</v>
      </c>
      <c r="AA172" s="17" t="str">
        <f>IF($AG$10&gt;=Tabela1[[#This Row],[investimento]]&gt;=$AG$11,"OK","Outlier")</f>
        <v>OK</v>
      </c>
      <c r="AB172" s="17" t="str">
        <f>IF($AG$17&gt;=Tabela1[[#This Row],[visitantes]]&gt;=$AG$18,"OK","Outlier")</f>
        <v>OK</v>
      </c>
      <c r="AC172" s="17" t="str">
        <f>IF($AG$24&gt;=Tabela1[[#This Row],[leads_gerados]]&gt;=$AG$25,"OK","Outlier")</f>
        <v>OK</v>
      </c>
      <c r="AD172" s="17" t="str">
        <f>IF($AG$31&gt;=Tabela1[[#This Row],[ltv_estimado]]&gt;=$AG$32,"OK","Outlier")</f>
        <v>OK</v>
      </c>
      <c r="AE172" s="17"/>
    </row>
    <row r="173" spans="1:31" ht="15.75" customHeight="1" x14ac:dyDescent="0.25">
      <c r="A173" s="1" t="s">
        <v>110</v>
      </c>
      <c r="B173" s="2">
        <v>45442</v>
      </c>
      <c r="C173" s="1" t="s">
        <v>39</v>
      </c>
      <c r="D173" s="1" t="s">
        <v>32</v>
      </c>
      <c r="E173" s="1" t="s">
        <v>23</v>
      </c>
      <c r="F173" s="1">
        <v>6600</v>
      </c>
      <c r="G173" s="1">
        <v>3948</v>
      </c>
      <c r="H173" s="1">
        <v>214</v>
      </c>
      <c r="I173" s="1" t="s">
        <v>63</v>
      </c>
      <c r="J173" s="1">
        <v>29</v>
      </c>
      <c r="K173" s="1" t="s">
        <v>25</v>
      </c>
      <c r="L173" s="1">
        <v>0</v>
      </c>
      <c r="M173" s="1">
        <v>0</v>
      </c>
      <c r="N173">
        <v>38</v>
      </c>
      <c r="O173" s="1" t="s">
        <v>26</v>
      </c>
      <c r="P173" s="1" t="s">
        <v>51</v>
      </c>
      <c r="Q173" s="1">
        <v>44</v>
      </c>
      <c r="R173" s="1" t="s">
        <v>29</v>
      </c>
      <c r="S173" s="1">
        <v>4874</v>
      </c>
      <c r="T173" s="5">
        <f>Tabela1[[#This Row],[investimento]]/Tabela1[[#This Row],[leads_gerados]]</f>
        <v>30.841121495327101</v>
      </c>
      <c r="U173" s="5">
        <f>VLOOKUP(Tabela1[[#This Row],[canal_aquisicao]],Tabela2[#All],2,0)</f>
        <v>23256.714285714286</v>
      </c>
      <c r="V173" s="1" t="str">
        <f t="shared" si="20"/>
        <v>Não Qualificado</v>
      </c>
      <c r="W173" s="1" t="str">
        <f>VLOOKUP(C173,Tabela5[#All],2,0)</f>
        <v>Awareness</v>
      </c>
      <c r="X173" s="14" t="str">
        <f t="shared" si="21"/>
        <v>Médio</v>
      </c>
      <c r="Y173" s="17" t="str">
        <f t="shared" si="22"/>
        <v>Sem Compra</v>
      </c>
      <c r="Z173" s="17" t="str">
        <f t="shared" si="23"/>
        <v>Adulto</v>
      </c>
      <c r="AA173" s="17" t="str">
        <f>IF($AG$10&gt;=Tabela1[[#This Row],[investimento]]&gt;=$AG$11,"OK","Outlier")</f>
        <v>OK</v>
      </c>
      <c r="AB173" s="17" t="str">
        <f>IF($AG$17&gt;=Tabela1[[#This Row],[visitantes]]&gt;=$AG$18,"OK","Outlier")</f>
        <v>OK</v>
      </c>
      <c r="AC173" s="17" t="str">
        <f>IF($AG$24&gt;=Tabela1[[#This Row],[leads_gerados]]&gt;=$AG$25,"OK","Outlier")</f>
        <v>OK</v>
      </c>
      <c r="AD173" s="17" t="str">
        <f>IF($AG$31&gt;=Tabela1[[#This Row],[ltv_estimado]]&gt;=$AG$32,"OK","Outlier")</f>
        <v>OK</v>
      </c>
      <c r="AE173" s="17"/>
    </row>
    <row r="174" spans="1:31" ht="15.75" customHeight="1" x14ac:dyDescent="0.25">
      <c r="A174" s="1" t="s">
        <v>152</v>
      </c>
      <c r="B174" s="2">
        <v>45645</v>
      </c>
      <c r="C174" s="1" t="s">
        <v>39</v>
      </c>
      <c r="D174" s="1" t="s">
        <v>32</v>
      </c>
      <c r="E174" s="1" t="s">
        <v>24</v>
      </c>
      <c r="F174" s="1">
        <v>9368</v>
      </c>
      <c r="G174" s="1">
        <v>2807</v>
      </c>
      <c r="H174" s="1">
        <v>273</v>
      </c>
      <c r="I174" s="1" t="s">
        <v>24</v>
      </c>
      <c r="J174" s="1">
        <v>23</v>
      </c>
      <c r="K174" s="1" t="s">
        <v>25</v>
      </c>
      <c r="L174" s="1">
        <v>0</v>
      </c>
      <c r="M174" s="1">
        <v>0</v>
      </c>
      <c r="N174" s="1">
        <v>56</v>
      </c>
      <c r="O174" s="1" t="s">
        <v>26</v>
      </c>
      <c r="P174" s="1" t="s">
        <v>35</v>
      </c>
      <c r="Q174" s="1">
        <v>11</v>
      </c>
      <c r="R174" s="1" t="s">
        <v>29</v>
      </c>
      <c r="S174" s="1">
        <v>3741</v>
      </c>
      <c r="T174" s="5">
        <f>Tabela1[[#This Row],[investimento]]/Tabela1[[#This Row],[leads_gerados]]</f>
        <v>34.315018315018314</v>
      </c>
      <c r="U174" s="5">
        <f>VLOOKUP(Tabela1[[#This Row],[canal_aquisicao]],Tabela2[#All],2,0)</f>
        <v>23256.714285714286</v>
      </c>
      <c r="V174" s="1" t="str">
        <f t="shared" si="20"/>
        <v>Não Qualificado</v>
      </c>
      <c r="W174" s="1" t="str">
        <f>VLOOKUP(C174,Tabela5[#All],2,0)</f>
        <v>Awareness</v>
      </c>
      <c r="X174" s="14" t="str">
        <f t="shared" si="21"/>
        <v>Baixo</v>
      </c>
      <c r="Y174" s="17" t="str">
        <f t="shared" si="22"/>
        <v>Sem Compra</v>
      </c>
      <c r="Z174" s="17" t="str">
        <f t="shared" si="23"/>
        <v>Sênior</v>
      </c>
      <c r="AA174" s="17" t="str">
        <f>IF($AG$10&gt;=Tabela1[[#This Row],[investimento]]&gt;=$AG$11,"OK","Outlier")</f>
        <v>OK</v>
      </c>
      <c r="AB174" s="17" t="str">
        <f>IF($AG$17&gt;=Tabela1[[#This Row],[visitantes]]&gt;=$AG$18,"OK","Outlier")</f>
        <v>OK</v>
      </c>
      <c r="AC174" s="17" t="str">
        <f>IF($AG$24&gt;=Tabela1[[#This Row],[leads_gerados]]&gt;=$AG$25,"OK","Outlier")</f>
        <v>OK</v>
      </c>
      <c r="AD174" s="17" t="str">
        <f>IF($AG$31&gt;=Tabela1[[#This Row],[ltv_estimado]]&gt;=$AG$32,"OK","Outlier")</f>
        <v>OK</v>
      </c>
      <c r="AE174" s="17"/>
    </row>
    <row r="175" spans="1:31" ht="15.75" customHeight="1" x14ac:dyDescent="0.25">
      <c r="A175" s="1" t="s">
        <v>147</v>
      </c>
      <c r="B175" s="2">
        <v>45338</v>
      </c>
      <c r="C175" s="1" t="s">
        <v>57</v>
      </c>
      <c r="D175" s="1" t="s">
        <v>32</v>
      </c>
      <c r="E175" s="1" t="s">
        <v>50</v>
      </c>
      <c r="F175" s="1">
        <v>15068</v>
      </c>
      <c r="G175" s="1">
        <v>1662</v>
      </c>
      <c r="H175" s="1">
        <v>118</v>
      </c>
      <c r="I175" s="1" t="s">
        <v>63</v>
      </c>
      <c r="J175" s="1">
        <v>28</v>
      </c>
      <c r="K175" s="1" t="s">
        <v>41</v>
      </c>
      <c r="L175" s="1">
        <v>450</v>
      </c>
      <c r="M175" s="1">
        <v>150</v>
      </c>
      <c r="N175" s="1">
        <v>55</v>
      </c>
      <c r="O175" s="1" t="s">
        <v>42</v>
      </c>
      <c r="P175" s="1" t="s">
        <v>35</v>
      </c>
      <c r="Q175" s="1">
        <v>22</v>
      </c>
      <c r="R175" s="1" t="s">
        <v>37</v>
      </c>
      <c r="S175" s="1">
        <v>605</v>
      </c>
      <c r="T175" s="5">
        <f>Tabela1[[#This Row],[investimento]]/Tabela1[[#This Row],[leads_gerados]]</f>
        <v>127.69491525423729</v>
      </c>
      <c r="U175" s="5">
        <f>VLOOKUP(Tabela1[[#This Row],[canal_aquisicao]],Tabela2[#All],2,0)</f>
        <v>22207.375</v>
      </c>
      <c r="V175" s="1" t="str">
        <f t="shared" si="20"/>
        <v>Não Qualificado</v>
      </c>
      <c r="W175" s="1" t="str">
        <f>VLOOKUP(C175,Tabela5[#All],2,0)</f>
        <v>Intenção de Compra</v>
      </c>
      <c r="X175" s="14" t="str">
        <f t="shared" si="21"/>
        <v>Baixo</v>
      </c>
      <c r="Y175" s="17" t="str">
        <f t="shared" si="22"/>
        <v>Médio</v>
      </c>
      <c r="Z175" s="17" t="str">
        <f t="shared" si="23"/>
        <v>Sênior</v>
      </c>
      <c r="AA175" s="17" t="str">
        <f>IF($AG$10&gt;=Tabela1[[#This Row],[investimento]]&gt;=$AG$11,"OK","Outlier")</f>
        <v>OK</v>
      </c>
      <c r="AB175" s="17" t="str">
        <f>IF($AG$17&gt;=Tabela1[[#This Row],[visitantes]]&gt;=$AG$18,"OK","Outlier")</f>
        <v>OK</v>
      </c>
      <c r="AC175" s="17" t="str">
        <f>IF($AG$24&gt;=Tabela1[[#This Row],[leads_gerados]]&gt;=$AG$25,"OK","Outlier")</f>
        <v>OK</v>
      </c>
      <c r="AD175" s="17" t="str">
        <f>IF($AG$31&gt;=Tabela1[[#This Row],[ltv_estimado]]&gt;=$AG$32,"OK","Outlier")</f>
        <v>OK</v>
      </c>
      <c r="AE175" s="17"/>
    </row>
    <row r="176" spans="1:31" ht="15.75" customHeight="1" x14ac:dyDescent="0.25">
      <c r="A176" s="1" t="s">
        <v>153</v>
      </c>
      <c r="B176" s="2">
        <v>45508</v>
      </c>
      <c r="C176" s="1" t="s">
        <v>21</v>
      </c>
      <c r="D176" s="1" t="s">
        <v>32</v>
      </c>
      <c r="E176" s="1" t="s">
        <v>33</v>
      </c>
      <c r="F176" s="1">
        <v>9794</v>
      </c>
      <c r="G176" s="1">
        <v>1049</v>
      </c>
      <c r="H176" s="1">
        <v>135</v>
      </c>
      <c r="I176" s="1" t="s">
        <v>24</v>
      </c>
      <c r="J176" s="1">
        <v>17</v>
      </c>
      <c r="K176" s="1" t="s">
        <v>25</v>
      </c>
      <c r="L176" s="1">
        <v>0</v>
      </c>
      <c r="M176" s="1">
        <v>0</v>
      </c>
      <c r="N176">
        <v>40</v>
      </c>
      <c r="O176" s="1" t="s">
        <v>42</v>
      </c>
      <c r="P176" s="1" t="s">
        <v>59</v>
      </c>
      <c r="Q176" s="1">
        <v>69</v>
      </c>
      <c r="R176" s="1" t="s">
        <v>37</v>
      </c>
      <c r="S176" s="1">
        <v>1847</v>
      </c>
      <c r="T176" s="5">
        <f>Tabela1[[#This Row],[investimento]]/Tabela1[[#This Row],[leads_gerados]]</f>
        <v>72.548148148148144</v>
      </c>
      <c r="U176" s="5">
        <f>VLOOKUP(Tabela1[[#This Row],[canal_aquisicao]],Tabela2[#All],2,0)</f>
        <v>18122.25</v>
      </c>
      <c r="V176" s="1" t="str">
        <f t="shared" si="20"/>
        <v>Não Qualificado</v>
      </c>
      <c r="W176" s="1" t="str">
        <f>VLOOKUP(C176,Tabela5[#All],2,0)</f>
        <v>Intenção de Compra</v>
      </c>
      <c r="X176" s="14" t="str">
        <f t="shared" si="21"/>
        <v>Médio</v>
      </c>
      <c r="Y176" s="17" t="str">
        <f t="shared" si="22"/>
        <v>Sem Compra</v>
      </c>
      <c r="Z176" s="17" t="str">
        <f t="shared" si="23"/>
        <v>Adulto</v>
      </c>
      <c r="AA176" s="17" t="str">
        <f>IF($AG$10&gt;=Tabela1[[#This Row],[investimento]]&gt;=$AG$11,"OK","Outlier")</f>
        <v>OK</v>
      </c>
      <c r="AB176" s="17" t="str">
        <f>IF($AG$17&gt;=Tabela1[[#This Row],[visitantes]]&gt;=$AG$18,"OK","Outlier")</f>
        <v>OK</v>
      </c>
      <c r="AC176" s="17" t="str">
        <f>IF($AG$24&gt;=Tabela1[[#This Row],[leads_gerados]]&gt;=$AG$25,"OK","Outlier")</f>
        <v>OK</v>
      </c>
      <c r="AD176" s="17" t="str">
        <f>IF($AG$31&gt;=Tabela1[[#This Row],[ltv_estimado]]&gt;=$AG$32,"OK","Outlier")</f>
        <v>OK</v>
      </c>
      <c r="AE176" s="17"/>
    </row>
    <row r="177" spans="1:31" ht="15.75" customHeight="1" x14ac:dyDescent="0.25">
      <c r="A177" s="1" t="s">
        <v>113</v>
      </c>
      <c r="B177" s="2">
        <v>45643</v>
      </c>
      <c r="C177" s="1" t="s">
        <v>21</v>
      </c>
      <c r="D177" s="1" t="s">
        <v>32</v>
      </c>
      <c r="E177" s="1" t="s">
        <v>24</v>
      </c>
      <c r="F177" s="1">
        <v>19065</v>
      </c>
      <c r="G177" s="1">
        <v>2467</v>
      </c>
      <c r="H177" s="1">
        <v>132</v>
      </c>
      <c r="I177" s="1" t="s">
        <v>58</v>
      </c>
      <c r="J177" s="1">
        <v>28</v>
      </c>
      <c r="K177" s="1" t="s">
        <v>41</v>
      </c>
      <c r="L177" s="1">
        <v>867</v>
      </c>
      <c r="M177" s="1">
        <v>289</v>
      </c>
      <c r="N177">
        <v>40</v>
      </c>
      <c r="O177" s="1" t="s">
        <v>42</v>
      </c>
      <c r="P177" s="1" t="s">
        <v>35</v>
      </c>
      <c r="Q177" s="1">
        <v>84</v>
      </c>
      <c r="R177" s="1" t="s">
        <v>37</v>
      </c>
      <c r="S177" s="1">
        <v>733</v>
      </c>
      <c r="T177" s="5">
        <f>Tabela1[[#This Row],[investimento]]/Tabela1[[#This Row],[leads_gerados]]</f>
        <v>144.43181818181819</v>
      </c>
      <c r="U177" s="5">
        <f>VLOOKUP(Tabela1[[#This Row],[canal_aquisicao]],Tabela2[#All],2,0)</f>
        <v>18122.25</v>
      </c>
      <c r="V177" s="1" t="str">
        <f t="shared" si="20"/>
        <v>Qualificado</v>
      </c>
      <c r="W177" s="1" t="str">
        <f>VLOOKUP(C177,Tabela5[#All],2,0)</f>
        <v>Intenção de Compra</v>
      </c>
      <c r="X177" s="14" t="str">
        <f t="shared" si="21"/>
        <v>Alto</v>
      </c>
      <c r="Y177" s="17" t="str">
        <f t="shared" si="22"/>
        <v>Médio</v>
      </c>
      <c r="Z177" s="17" t="str">
        <f t="shared" si="23"/>
        <v>Adulto</v>
      </c>
      <c r="AA177" s="17" t="str">
        <f>IF($AG$10&gt;=Tabela1[[#This Row],[investimento]]&gt;=$AG$11,"OK","Outlier")</f>
        <v>OK</v>
      </c>
      <c r="AB177" s="17" t="str">
        <f>IF($AG$17&gt;=Tabela1[[#This Row],[visitantes]]&gt;=$AG$18,"OK","Outlier")</f>
        <v>OK</v>
      </c>
      <c r="AC177" s="17" t="str">
        <f>IF($AG$24&gt;=Tabela1[[#This Row],[leads_gerados]]&gt;=$AG$25,"OK","Outlier")</f>
        <v>OK</v>
      </c>
      <c r="AD177" s="17" t="str">
        <f>IF($AG$31&gt;=Tabela1[[#This Row],[ltv_estimado]]&gt;=$AG$32,"OK","Outlier")</f>
        <v>OK</v>
      </c>
      <c r="AE177" s="17"/>
    </row>
    <row r="178" spans="1:31" ht="15.75" customHeight="1" x14ac:dyDescent="0.25">
      <c r="A178" s="1" t="s">
        <v>131</v>
      </c>
      <c r="B178" s="2">
        <v>45616</v>
      </c>
      <c r="C178" s="1" t="s">
        <v>21</v>
      </c>
      <c r="D178" s="1" t="s">
        <v>32</v>
      </c>
      <c r="E178" s="1" t="s">
        <v>50</v>
      </c>
      <c r="F178" s="1">
        <v>10338</v>
      </c>
      <c r="G178" s="1">
        <v>2094</v>
      </c>
      <c r="H178" s="1">
        <v>78</v>
      </c>
      <c r="I178" s="1" t="s">
        <v>34</v>
      </c>
      <c r="J178" s="1">
        <v>25</v>
      </c>
      <c r="K178" s="1" t="s">
        <v>41</v>
      </c>
      <c r="L178" s="1">
        <v>821</v>
      </c>
      <c r="M178" s="1">
        <v>273.67</v>
      </c>
      <c r="N178" s="1">
        <v>33</v>
      </c>
      <c r="O178" s="1" t="s">
        <v>42</v>
      </c>
      <c r="P178" s="1" t="s">
        <v>35</v>
      </c>
      <c r="Q178" s="1">
        <v>47</v>
      </c>
      <c r="R178" s="1" t="s">
        <v>37</v>
      </c>
      <c r="S178" s="1">
        <v>727</v>
      </c>
      <c r="T178" s="5">
        <f>Tabela1[[#This Row],[investimento]]/Tabela1[[#This Row],[leads_gerados]]</f>
        <v>132.53846153846155</v>
      </c>
      <c r="U178" s="5">
        <f>VLOOKUP(Tabela1[[#This Row],[canal_aquisicao]],Tabela2[#All],2,0)</f>
        <v>18122.25</v>
      </c>
      <c r="V178" s="1" t="str">
        <f t="shared" si="20"/>
        <v>Não Qualificado</v>
      </c>
      <c r="W178" s="1" t="str">
        <f>VLOOKUP(C178,Tabela5[#All],2,0)</f>
        <v>Intenção de Compra</v>
      </c>
      <c r="X178" s="14" t="str">
        <f t="shared" si="21"/>
        <v>Médio</v>
      </c>
      <c r="Y178" s="17" t="str">
        <f t="shared" si="22"/>
        <v>Médio</v>
      </c>
      <c r="Z178" s="17" t="str">
        <f t="shared" si="23"/>
        <v>Adulto</v>
      </c>
      <c r="AA178" s="17" t="str">
        <f>IF($AG$10&gt;=Tabela1[[#This Row],[investimento]]&gt;=$AG$11,"OK","Outlier")</f>
        <v>OK</v>
      </c>
      <c r="AB178" s="17" t="str">
        <f>IF($AG$17&gt;=Tabela1[[#This Row],[visitantes]]&gt;=$AG$18,"OK","Outlier")</f>
        <v>OK</v>
      </c>
      <c r="AC178" s="17" t="str">
        <f>IF($AG$24&gt;=Tabela1[[#This Row],[leads_gerados]]&gt;=$AG$25,"OK","Outlier")</f>
        <v>OK</v>
      </c>
      <c r="AD178" s="17" t="str">
        <f>IF($AG$31&gt;=Tabela1[[#This Row],[ltv_estimado]]&gt;=$AG$32,"OK","Outlier")</f>
        <v>OK</v>
      </c>
      <c r="AE178" s="17"/>
    </row>
    <row r="179" spans="1:31" ht="15.75" customHeight="1" x14ac:dyDescent="0.25">
      <c r="A179" s="1" t="s">
        <v>147</v>
      </c>
      <c r="B179" s="2">
        <v>45761</v>
      </c>
      <c r="C179" s="1" t="s">
        <v>21</v>
      </c>
      <c r="D179" s="1" t="s">
        <v>32</v>
      </c>
      <c r="E179" s="1" t="s">
        <v>50</v>
      </c>
      <c r="F179" s="1">
        <v>6081</v>
      </c>
      <c r="G179" s="1">
        <v>569</v>
      </c>
      <c r="H179" s="1">
        <v>44</v>
      </c>
      <c r="I179" s="1" t="s">
        <v>58</v>
      </c>
      <c r="J179" s="1">
        <v>24</v>
      </c>
      <c r="K179" s="1" t="s">
        <v>25</v>
      </c>
      <c r="L179" s="1">
        <v>0</v>
      </c>
      <c r="M179" s="1">
        <v>0</v>
      </c>
      <c r="N179" s="1">
        <v>52</v>
      </c>
      <c r="O179" s="1" t="s">
        <v>26</v>
      </c>
      <c r="P179" s="1" t="s">
        <v>35</v>
      </c>
      <c r="Q179" s="1">
        <v>51</v>
      </c>
      <c r="R179" s="1" t="s">
        <v>37</v>
      </c>
      <c r="S179" s="1">
        <v>5851</v>
      </c>
      <c r="T179" s="5">
        <f>Tabela1[[#This Row],[investimento]]/Tabela1[[#This Row],[leads_gerados]]</f>
        <v>138.20454545454547</v>
      </c>
      <c r="U179" s="5">
        <f>VLOOKUP(Tabela1[[#This Row],[canal_aquisicao]],Tabela2[#All],2,0)</f>
        <v>18122.25</v>
      </c>
      <c r="V179" s="1" t="str">
        <f t="shared" si="20"/>
        <v>Não Qualificado</v>
      </c>
      <c r="W179" s="1" t="str">
        <f>VLOOKUP(C179,Tabela5[#All],2,0)</f>
        <v>Intenção de Compra</v>
      </c>
      <c r="X179" s="14" t="str">
        <f t="shared" si="21"/>
        <v>Médio</v>
      </c>
      <c r="Y179" s="17" t="str">
        <f t="shared" si="22"/>
        <v>Sem Compra</v>
      </c>
      <c r="Z179" s="17" t="str">
        <f t="shared" si="23"/>
        <v>Sênior</v>
      </c>
      <c r="AA179" s="17" t="str">
        <f>IF($AG$10&gt;=Tabela1[[#This Row],[investimento]]&gt;=$AG$11,"OK","Outlier")</f>
        <v>OK</v>
      </c>
      <c r="AB179" s="17" t="str">
        <f>IF($AG$17&gt;=Tabela1[[#This Row],[visitantes]]&gt;=$AG$18,"OK","Outlier")</f>
        <v>OK</v>
      </c>
      <c r="AC179" s="17" t="str">
        <f>IF($AG$24&gt;=Tabela1[[#This Row],[leads_gerados]]&gt;=$AG$25,"OK","Outlier")</f>
        <v>OK</v>
      </c>
      <c r="AD179" s="17" t="str">
        <f>IF($AG$31&gt;=Tabela1[[#This Row],[ltv_estimado]]&gt;=$AG$32,"OK","Outlier")</f>
        <v>OK</v>
      </c>
      <c r="AE179" s="17"/>
    </row>
    <row r="180" spans="1:31" ht="15.75" customHeight="1" x14ac:dyDescent="0.25">
      <c r="A180" s="1" t="s">
        <v>158</v>
      </c>
      <c r="B180" s="2">
        <v>45531</v>
      </c>
      <c r="C180" s="1" t="s">
        <v>21</v>
      </c>
      <c r="D180" s="1" t="s">
        <v>32</v>
      </c>
      <c r="E180" s="1" t="s">
        <v>23</v>
      </c>
      <c r="F180" s="1">
        <v>4750</v>
      </c>
      <c r="G180" s="1">
        <v>1237</v>
      </c>
      <c r="H180" s="1">
        <v>180</v>
      </c>
      <c r="I180" s="1" t="s">
        <v>34</v>
      </c>
      <c r="J180" s="1">
        <v>30</v>
      </c>
      <c r="K180" s="1" t="s">
        <v>41</v>
      </c>
      <c r="L180" s="1">
        <v>216</v>
      </c>
      <c r="M180" s="1">
        <v>72</v>
      </c>
      <c r="N180">
        <v>40</v>
      </c>
      <c r="O180" s="1" t="s">
        <v>42</v>
      </c>
      <c r="P180" s="1" t="s">
        <v>35</v>
      </c>
      <c r="Q180" s="1">
        <v>31</v>
      </c>
      <c r="R180" s="1" t="s">
        <v>37</v>
      </c>
      <c r="S180" s="1">
        <v>5005</v>
      </c>
      <c r="T180" s="5">
        <f>Tabela1[[#This Row],[investimento]]/Tabela1[[#This Row],[leads_gerados]]</f>
        <v>26.388888888888889</v>
      </c>
      <c r="U180" s="5">
        <f>VLOOKUP(Tabela1[[#This Row],[canal_aquisicao]],Tabela2[#All],2,0)</f>
        <v>18122.25</v>
      </c>
      <c r="V180" s="1" t="str">
        <f t="shared" si="20"/>
        <v>Não Qualificado</v>
      </c>
      <c r="W180" s="1" t="str">
        <f>VLOOKUP(C180,Tabela5[#All],2,0)</f>
        <v>Intenção de Compra</v>
      </c>
      <c r="X180" s="14" t="str">
        <f t="shared" si="21"/>
        <v>Baixo</v>
      </c>
      <c r="Y180" s="17" t="str">
        <f t="shared" si="22"/>
        <v>Baixo</v>
      </c>
      <c r="Z180" s="17" t="str">
        <f t="shared" si="23"/>
        <v>Adulto</v>
      </c>
      <c r="AA180" s="17" t="str">
        <f>IF($AG$10&gt;=Tabela1[[#This Row],[investimento]]&gt;=$AG$11,"OK","Outlier")</f>
        <v>OK</v>
      </c>
      <c r="AB180" s="17" t="str">
        <f>IF($AG$17&gt;=Tabela1[[#This Row],[visitantes]]&gt;=$AG$18,"OK","Outlier")</f>
        <v>OK</v>
      </c>
      <c r="AC180" s="17" t="str">
        <f>IF($AG$24&gt;=Tabela1[[#This Row],[leads_gerados]]&gt;=$AG$25,"OK","Outlier")</f>
        <v>OK</v>
      </c>
      <c r="AD180" s="17" t="str">
        <f>IF($AG$31&gt;=Tabela1[[#This Row],[ltv_estimado]]&gt;=$AG$32,"OK","Outlier")</f>
        <v>OK</v>
      </c>
      <c r="AE180" s="17"/>
    </row>
    <row r="181" spans="1:31" ht="15.75" customHeight="1" x14ac:dyDescent="0.25">
      <c r="A181" s="1" t="s">
        <v>160</v>
      </c>
      <c r="B181" s="2">
        <v>45423</v>
      </c>
      <c r="C181" s="1" t="s">
        <v>54</v>
      </c>
      <c r="D181" s="1" t="s">
        <v>32</v>
      </c>
      <c r="E181" s="1" t="s">
        <v>50</v>
      </c>
      <c r="F181" s="1">
        <v>12015</v>
      </c>
      <c r="G181" s="1">
        <v>337</v>
      </c>
      <c r="H181" s="1">
        <v>11</v>
      </c>
      <c r="I181" s="1" t="s">
        <v>34</v>
      </c>
      <c r="J181" s="1">
        <v>21</v>
      </c>
      <c r="K181" s="1" t="s">
        <v>41</v>
      </c>
      <c r="L181" s="1">
        <v>499</v>
      </c>
      <c r="M181" s="1">
        <v>499</v>
      </c>
      <c r="N181">
        <v>40</v>
      </c>
      <c r="O181" s="1" t="s">
        <v>42</v>
      </c>
      <c r="P181" s="1" t="s">
        <v>59</v>
      </c>
      <c r="Q181" s="1">
        <v>95</v>
      </c>
      <c r="R181" s="1" t="s">
        <v>37</v>
      </c>
      <c r="S181" s="1">
        <v>5792</v>
      </c>
      <c r="T181" s="5">
        <f>Tabela1[[#This Row],[investimento]]/Tabela1[[#This Row],[leads_gerados]]</f>
        <v>1092.2727272727273</v>
      </c>
      <c r="U181" s="5">
        <f>VLOOKUP(Tabela1[[#This Row],[canal_aquisicao]],Tabela2[#All],2,0)</f>
        <v>23467.142857142859</v>
      </c>
      <c r="V181" s="1" t="str">
        <f t="shared" si="20"/>
        <v>Qualificado</v>
      </c>
      <c r="W181" s="1" t="str">
        <f>VLOOKUP(C181,Tabela5[#All],2,0)</f>
        <v>Awareness</v>
      </c>
      <c r="X181" s="14" t="str">
        <f t="shared" si="21"/>
        <v>Alto</v>
      </c>
      <c r="Y181" s="17" t="str">
        <f t="shared" si="22"/>
        <v>Alto</v>
      </c>
      <c r="Z181" s="17" t="str">
        <f t="shared" si="23"/>
        <v>Adulto</v>
      </c>
      <c r="AA181" s="17" t="str">
        <f>IF($AG$10&gt;=Tabela1[[#This Row],[investimento]]&gt;=$AG$11,"OK","Outlier")</f>
        <v>OK</v>
      </c>
      <c r="AB181" s="17" t="str">
        <f>IF($AG$17&gt;=Tabela1[[#This Row],[visitantes]]&gt;=$AG$18,"OK","Outlier")</f>
        <v>OK</v>
      </c>
      <c r="AC181" s="17" t="str">
        <f>IF($AG$24&gt;=Tabela1[[#This Row],[leads_gerados]]&gt;=$AG$25,"OK","Outlier")</f>
        <v>OK</v>
      </c>
      <c r="AD181" s="17" t="str">
        <f>IF($AG$31&gt;=Tabela1[[#This Row],[ltv_estimado]]&gt;=$AG$32,"OK","Outlier")</f>
        <v>OK</v>
      </c>
      <c r="AE181" s="17"/>
    </row>
    <row r="182" spans="1:31" ht="15.75" customHeight="1" x14ac:dyDescent="0.25"/>
    <row r="183" spans="1:31" ht="15.75" customHeight="1" x14ac:dyDescent="0.25"/>
    <row r="184" spans="1:31" ht="15.75" customHeight="1" x14ac:dyDescent="0.25"/>
    <row r="185" spans="1:31" ht="15.75" customHeight="1" x14ac:dyDescent="0.25"/>
    <row r="186" spans="1:31" ht="15.75" customHeight="1" x14ac:dyDescent="0.25"/>
    <row r="187" spans="1:31" ht="15.75" customHeight="1" x14ac:dyDescent="0.25"/>
    <row r="188" spans="1:31" ht="15.75" customHeight="1" x14ac:dyDescent="0.25"/>
    <row r="189" spans="1:31" ht="15.75" customHeight="1" x14ac:dyDescent="0.25"/>
    <row r="190" spans="1:31" ht="15.75" customHeight="1" x14ac:dyDescent="0.25"/>
    <row r="191" spans="1:31" ht="15.75" customHeight="1" x14ac:dyDescent="0.25">
      <c r="N191" s="1"/>
    </row>
    <row r="192" spans="1:31" ht="15.75" customHeight="1" x14ac:dyDescent="0.25">
      <c r="N192" s="1"/>
    </row>
    <row r="193" spans="14:14" ht="15.75" customHeight="1" x14ac:dyDescent="0.25">
      <c r="N193" s="1"/>
    </row>
    <row r="194" spans="14:14" ht="15.75" customHeight="1" x14ac:dyDescent="0.25"/>
    <row r="195" spans="14:14" ht="15.75" customHeight="1" x14ac:dyDescent="0.25">
      <c r="N195" s="1"/>
    </row>
    <row r="196" spans="14:14" ht="15.75" customHeight="1" x14ac:dyDescent="0.25"/>
    <row r="197" spans="14:14" ht="15.75" customHeight="1" x14ac:dyDescent="0.25"/>
    <row r="198" spans="14:14" ht="15.75" customHeight="1" x14ac:dyDescent="0.25"/>
    <row r="199" spans="14:14" ht="15.75" customHeight="1" x14ac:dyDescent="0.25">
      <c r="N199" s="1"/>
    </row>
    <row r="200" spans="14:14" ht="15.75" customHeight="1" x14ac:dyDescent="0.25">
      <c r="N200" s="1"/>
    </row>
    <row r="201" spans="14:14" ht="15.75" customHeight="1" x14ac:dyDescent="0.25"/>
    <row r="202" spans="14:14" ht="15.75" customHeight="1" x14ac:dyDescent="0.25">
      <c r="N202" s="1"/>
    </row>
    <row r="203" spans="14:14" ht="15.75" customHeight="1" x14ac:dyDescent="0.25">
      <c r="N203" s="1"/>
    </row>
    <row r="204" spans="14:14" ht="15.75" customHeight="1" x14ac:dyDescent="0.25"/>
    <row r="205" spans="14:14" ht="15.75" customHeight="1" x14ac:dyDescent="0.25">
      <c r="N205" s="1"/>
    </row>
    <row r="206" spans="14:14" ht="15.75" customHeight="1" x14ac:dyDescent="0.25">
      <c r="N206" s="1"/>
    </row>
    <row r="207" spans="14:14" ht="15.75" customHeight="1" x14ac:dyDescent="0.25"/>
    <row r="208" spans="14:14" ht="15.75" customHeight="1" x14ac:dyDescent="0.25">
      <c r="N208" s="1"/>
    </row>
    <row r="209" spans="14:14" ht="15.75" customHeight="1" x14ac:dyDescent="0.25"/>
    <row r="210" spans="14:14" ht="15.75" customHeight="1" x14ac:dyDescent="0.25">
      <c r="N210" s="1"/>
    </row>
    <row r="211" spans="14:14" ht="15.75" customHeight="1" x14ac:dyDescent="0.25">
      <c r="N211" s="1"/>
    </row>
    <row r="212" spans="14:14" ht="15.75" customHeight="1" x14ac:dyDescent="0.25">
      <c r="N212" s="1"/>
    </row>
    <row r="213" spans="14:14" ht="15.75" customHeight="1" x14ac:dyDescent="0.25">
      <c r="N213" s="1"/>
    </row>
    <row r="214" spans="14:14" ht="15.75" customHeight="1" x14ac:dyDescent="0.25"/>
    <row r="215" spans="14:14" ht="15.75" customHeight="1" x14ac:dyDescent="0.25">
      <c r="N215" s="1"/>
    </row>
    <row r="216" spans="14:14" ht="15.75" customHeight="1" x14ac:dyDescent="0.25">
      <c r="N216" s="1"/>
    </row>
    <row r="217" spans="14:14" ht="15.75" customHeight="1" x14ac:dyDescent="0.25"/>
    <row r="218" spans="14:14" ht="15.75" customHeight="1" x14ac:dyDescent="0.25">
      <c r="N218" s="1"/>
    </row>
    <row r="219" spans="14:14" ht="15.75" customHeight="1" x14ac:dyDescent="0.25"/>
    <row r="220" spans="14:14" ht="15.75" customHeight="1" x14ac:dyDescent="0.25">
      <c r="N220" s="1"/>
    </row>
    <row r="221" spans="14:14" ht="15.75" customHeight="1" x14ac:dyDescent="0.25">
      <c r="N221" s="1"/>
    </row>
    <row r="222" spans="14:14" ht="15.75" customHeight="1" x14ac:dyDescent="0.25">
      <c r="N222" s="1"/>
    </row>
    <row r="223" spans="14:14" ht="15.75" customHeight="1" x14ac:dyDescent="0.25"/>
    <row r="224" spans="14:14" ht="15.75" customHeight="1" x14ac:dyDescent="0.25">
      <c r="N224" s="1"/>
    </row>
    <row r="225" spans="14:14" ht="15.75" customHeight="1" x14ac:dyDescent="0.25">
      <c r="N225" s="1"/>
    </row>
    <row r="226" spans="14:14" ht="15.75" customHeight="1" x14ac:dyDescent="0.25">
      <c r="N226" s="1"/>
    </row>
    <row r="227" spans="14:14" ht="15.75" customHeight="1" x14ac:dyDescent="0.25"/>
    <row r="228" spans="14:14" ht="15.75" customHeight="1" x14ac:dyDescent="0.25">
      <c r="N228" s="1"/>
    </row>
    <row r="229" spans="14:14" ht="15.75" customHeight="1" x14ac:dyDescent="0.25"/>
    <row r="230" spans="14:14" ht="15.75" customHeight="1" x14ac:dyDescent="0.25"/>
    <row r="231" spans="14:14" ht="15.75" customHeight="1" x14ac:dyDescent="0.25"/>
    <row r="232" spans="14:14" ht="15.75" customHeight="1" x14ac:dyDescent="0.25"/>
    <row r="233" spans="14:14" ht="15.75" customHeight="1" x14ac:dyDescent="0.25">
      <c r="N233" s="1"/>
    </row>
    <row r="234" spans="14:14" ht="15.75" customHeight="1" x14ac:dyDescent="0.25"/>
    <row r="235" spans="14:14" ht="15.75" customHeight="1" x14ac:dyDescent="0.25">
      <c r="N235" s="1"/>
    </row>
    <row r="236" spans="14:14" ht="15.75" customHeight="1" x14ac:dyDescent="0.25">
      <c r="N236" s="1"/>
    </row>
    <row r="237" spans="14:14" ht="15.75" customHeight="1" x14ac:dyDescent="0.25"/>
    <row r="238" spans="14:14" ht="15.75" customHeight="1" x14ac:dyDescent="0.25">
      <c r="N238" s="1"/>
    </row>
    <row r="239" spans="14:14" ht="15.75" customHeight="1" x14ac:dyDescent="0.25">
      <c r="N239" s="1"/>
    </row>
    <row r="240" spans="14:14" ht="15.75" customHeight="1" x14ac:dyDescent="0.25"/>
    <row r="241" spans="14:14" ht="15.75" customHeight="1" x14ac:dyDescent="0.25">
      <c r="N241" s="1"/>
    </row>
    <row r="242" spans="14:14" ht="15.75" customHeight="1" x14ac:dyDescent="0.25"/>
    <row r="243" spans="14:14" ht="15.75" customHeight="1" x14ac:dyDescent="0.25"/>
    <row r="244" spans="14:14" ht="15.75" customHeight="1" x14ac:dyDescent="0.25">
      <c r="N244" s="1"/>
    </row>
    <row r="245" spans="14:14" ht="15.75" customHeight="1" x14ac:dyDescent="0.25"/>
    <row r="246" spans="14:14" ht="15.75" customHeight="1" x14ac:dyDescent="0.25"/>
    <row r="247" spans="14:14" ht="15.75" customHeight="1" x14ac:dyDescent="0.25">
      <c r="N247" s="1"/>
    </row>
    <row r="248" spans="14:14" ht="15.75" customHeight="1" x14ac:dyDescent="0.25"/>
    <row r="249" spans="14:14" ht="15.75" customHeight="1" x14ac:dyDescent="0.25"/>
    <row r="250" spans="14:14" ht="15.75" customHeight="1" x14ac:dyDescent="0.25">
      <c r="N250" s="1"/>
    </row>
    <row r="251" spans="14:14" ht="15.75" customHeight="1" x14ac:dyDescent="0.25">
      <c r="N251" s="1"/>
    </row>
    <row r="252" spans="14:14" ht="15.75" customHeight="1" x14ac:dyDescent="0.25">
      <c r="N252" s="1"/>
    </row>
    <row r="253" spans="14:14" ht="15.75" customHeight="1" x14ac:dyDescent="0.25"/>
    <row r="254" spans="14:14" ht="15.75" customHeight="1" x14ac:dyDescent="0.25"/>
    <row r="255" spans="14:14" ht="15.75" customHeight="1" x14ac:dyDescent="0.25"/>
    <row r="256" spans="14:14" ht="15.75" customHeight="1" x14ac:dyDescent="0.25"/>
    <row r="257" spans="14:14" ht="15.75" customHeight="1" x14ac:dyDescent="0.25">
      <c r="N257" s="1"/>
    </row>
    <row r="258" spans="14:14" ht="15.75" customHeight="1" x14ac:dyDescent="0.25"/>
    <row r="259" spans="14:14" ht="15.75" customHeight="1" x14ac:dyDescent="0.25">
      <c r="N259" s="1"/>
    </row>
    <row r="260" spans="14:14" ht="15.75" customHeight="1" x14ac:dyDescent="0.25">
      <c r="N260" s="1"/>
    </row>
    <row r="261" spans="14:14" ht="15.75" customHeight="1" x14ac:dyDescent="0.25"/>
    <row r="262" spans="14:14" ht="15.75" customHeight="1" x14ac:dyDescent="0.25">
      <c r="N262" s="1"/>
    </row>
    <row r="263" spans="14:14" ht="15.75" customHeight="1" x14ac:dyDescent="0.25">
      <c r="N263" s="1"/>
    </row>
    <row r="264" spans="14:14" ht="15.75" customHeight="1" x14ac:dyDescent="0.25"/>
    <row r="265" spans="14:14" ht="15.75" customHeight="1" x14ac:dyDescent="0.25">
      <c r="N265" s="1"/>
    </row>
    <row r="266" spans="14:14" ht="15.75" customHeight="1" x14ac:dyDescent="0.25"/>
    <row r="267" spans="14:14" ht="15.75" customHeight="1" x14ac:dyDescent="0.25"/>
    <row r="268" spans="14:14" ht="15.75" customHeight="1" x14ac:dyDescent="0.25"/>
    <row r="269" spans="14:14" ht="15.75" customHeight="1" x14ac:dyDescent="0.25">
      <c r="N269" s="1"/>
    </row>
    <row r="270" spans="14:14" ht="15.75" customHeight="1" x14ac:dyDescent="0.25">
      <c r="N270" s="1"/>
    </row>
    <row r="271" spans="14:14" ht="15.75" customHeight="1" x14ac:dyDescent="0.25"/>
    <row r="272" spans="14:14" ht="15.75" customHeight="1" x14ac:dyDescent="0.25"/>
    <row r="273" spans="14:14" ht="15.75" customHeight="1" x14ac:dyDescent="0.25"/>
    <row r="274" spans="14:14" ht="15.75" customHeight="1" x14ac:dyDescent="0.25"/>
    <row r="275" spans="14:14" ht="15.75" customHeight="1" x14ac:dyDescent="0.25">
      <c r="N275" s="1"/>
    </row>
    <row r="276" spans="14:14" ht="15.75" customHeight="1" x14ac:dyDescent="0.25"/>
    <row r="277" spans="14:14" ht="15.75" customHeight="1" x14ac:dyDescent="0.25">
      <c r="N277" s="1"/>
    </row>
    <row r="278" spans="14:14" ht="15.75" customHeight="1" x14ac:dyDescent="0.25">
      <c r="N278" s="1"/>
    </row>
    <row r="279" spans="14:14" ht="15.75" customHeight="1" x14ac:dyDescent="0.25"/>
    <row r="280" spans="14:14" ht="15.75" customHeight="1" x14ac:dyDescent="0.25"/>
    <row r="281" spans="14:14" ht="15.75" customHeight="1" x14ac:dyDescent="0.25"/>
    <row r="282" spans="14:14" ht="15.75" customHeight="1" x14ac:dyDescent="0.25"/>
    <row r="283" spans="14:14" ht="15.75" customHeight="1" x14ac:dyDescent="0.25"/>
    <row r="284" spans="14:14" ht="15.75" customHeight="1" x14ac:dyDescent="0.25"/>
    <row r="285" spans="14:14" ht="15.75" customHeight="1" x14ac:dyDescent="0.25"/>
    <row r="286" spans="14:14" ht="15.75" customHeight="1" x14ac:dyDescent="0.25"/>
    <row r="287" spans="14:14" ht="15.75" customHeight="1" x14ac:dyDescent="0.25"/>
    <row r="288" spans="14:14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0872-701C-4651-8C2B-C2400AACB181}">
  <dimension ref="A3:E30"/>
  <sheetViews>
    <sheetView workbookViewId="0">
      <selection activeCell="E4" activeCellId="1" sqref="A4:A8 E4:E8"/>
    </sheetView>
  </sheetViews>
  <sheetFormatPr defaultRowHeight="15" x14ac:dyDescent="0.25"/>
  <cols>
    <col min="1" max="1" width="18.42578125" bestFit="1" customWidth="1"/>
    <col min="2" max="2" width="18.28515625" bestFit="1" customWidth="1"/>
    <col min="3" max="5" width="14.42578125" bestFit="1" customWidth="1"/>
    <col min="6" max="6" width="18.42578125" bestFit="1" customWidth="1"/>
    <col min="7" max="7" width="16" bestFit="1" customWidth="1"/>
    <col min="8" max="8" width="23.42578125" bestFit="1" customWidth="1"/>
    <col min="9" max="9" width="18.28515625" bestFit="1" customWidth="1"/>
  </cols>
  <sheetData>
    <row r="3" spans="1:5" x14ac:dyDescent="0.25">
      <c r="A3" s="6" t="s">
        <v>208</v>
      </c>
      <c r="B3" s="6" t="s">
        <v>210</v>
      </c>
    </row>
    <row r="4" spans="1:5" x14ac:dyDescent="0.25">
      <c r="A4" s="6" t="s">
        <v>209</v>
      </c>
      <c r="B4" t="s">
        <v>47</v>
      </c>
      <c r="C4" t="s">
        <v>29</v>
      </c>
      <c r="D4" t="s">
        <v>37</v>
      </c>
      <c r="E4" t="s">
        <v>175</v>
      </c>
    </row>
    <row r="5" spans="1:5" x14ac:dyDescent="0.25">
      <c r="A5" s="7" t="s">
        <v>205</v>
      </c>
      <c r="B5" s="10">
        <v>103977</v>
      </c>
      <c r="C5" s="10">
        <v>102204</v>
      </c>
      <c r="D5" s="10">
        <v>162073</v>
      </c>
      <c r="E5" s="10">
        <v>368254</v>
      </c>
    </row>
    <row r="6" spans="1:5" x14ac:dyDescent="0.25">
      <c r="A6" s="7" t="s">
        <v>206</v>
      </c>
      <c r="B6" s="10">
        <v>26286</v>
      </c>
      <c r="C6" s="10">
        <v>15521</v>
      </c>
      <c r="D6" s="10">
        <v>17605</v>
      </c>
      <c r="E6" s="10">
        <v>59412</v>
      </c>
    </row>
    <row r="7" spans="1:5" x14ac:dyDescent="0.25">
      <c r="A7" s="7" t="s">
        <v>207</v>
      </c>
      <c r="B7" s="10">
        <v>55256</v>
      </c>
      <c r="C7" s="10">
        <v>39890</v>
      </c>
      <c r="D7" s="10">
        <v>54428</v>
      </c>
      <c r="E7" s="10">
        <v>149574</v>
      </c>
    </row>
    <row r="8" spans="1:5" x14ac:dyDescent="0.25">
      <c r="A8" s="7" t="s">
        <v>175</v>
      </c>
      <c r="B8" s="10">
        <v>185519</v>
      </c>
      <c r="C8" s="10">
        <v>157615</v>
      </c>
      <c r="D8" s="10">
        <v>234106</v>
      </c>
      <c r="E8" s="10">
        <v>577240</v>
      </c>
    </row>
    <row r="10" spans="1:5" x14ac:dyDescent="0.25">
      <c r="A10" s="6" t="s">
        <v>211</v>
      </c>
      <c r="B10" s="6" t="s">
        <v>210</v>
      </c>
    </row>
    <row r="11" spans="1:5" x14ac:dyDescent="0.25">
      <c r="A11" s="6" t="s">
        <v>209</v>
      </c>
      <c r="B11" t="s">
        <v>47</v>
      </c>
      <c r="C11" t="s">
        <v>29</v>
      </c>
      <c r="D11" t="s">
        <v>37</v>
      </c>
      <c r="E11" t="s">
        <v>175</v>
      </c>
    </row>
    <row r="12" spans="1:5" x14ac:dyDescent="0.25">
      <c r="A12" s="7" t="s">
        <v>205</v>
      </c>
      <c r="B12" s="22">
        <v>32</v>
      </c>
      <c r="C12" s="22">
        <v>35</v>
      </c>
      <c r="D12" s="22">
        <v>51</v>
      </c>
      <c r="E12" s="22">
        <v>118</v>
      </c>
    </row>
    <row r="13" spans="1:5" x14ac:dyDescent="0.25">
      <c r="A13" s="7" t="s">
        <v>207</v>
      </c>
      <c r="B13" s="22">
        <v>14</v>
      </c>
      <c r="C13" s="22">
        <v>13</v>
      </c>
      <c r="D13" s="22">
        <v>18</v>
      </c>
      <c r="E13" s="22">
        <v>45</v>
      </c>
    </row>
    <row r="14" spans="1:5" x14ac:dyDescent="0.25">
      <c r="A14" s="7" t="s">
        <v>206</v>
      </c>
      <c r="B14" s="22">
        <v>8</v>
      </c>
      <c r="C14" s="22">
        <v>4</v>
      </c>
      <c r="D14" s="22">
        <v>5</v>
      </c>
      <c r="E14" s="22">
        <v>17</v>
      </c>
    </row>
    <row r="15" spans="1:5" x14ac:dyDescent="0.25">
      <c r="A15" s="7" t="s">
        <v>175</v>
      </c>
      <c r="B15" s="22">
        <v>54</v>
      </c>
      <c r="C15" s="22">
        <v>52</v>
      </c>
      <c r="D15" s="22">
        <v>74</v>
      </c>
      <c r="E15" s="22">
        <v>180</v>
      </c>
    </row>
    <row r="17" spans="1:2" x14ac:dyDescent="0.25">
      <c r="A17" s="6" t="s">
        <v>209</v>
      </c>
      <c r="B17" t="s">
        <v>227</v>
      </c>
    </row>
    <row r="18" spans="1:2" x14ac:dyDescent="0.25">
      <c r="A18" s="7" t="s">
        <v>205</v>
      </c>
      <c r="B18" s="39">
        <v>17564.84</v>
      </c>
    </row>
    <row r="19" spans="1:2" x14ac:dyDescent="0.25">
      <c r="A19" s="7" t="s">
        <v>206</v>
      </c>
      <c r="B19" s="39">
        <v>2336</v>
      </c>
    </row>
    <row r="20" spans="1:2" x14ac:dyDescent="0.25">
      <c r="A20" s="7" t="s">
        <v>207</v>
      </c>
      <c r="B20" s="39">
        <v>7821.01</v>
      </c>
    </row>
    <row r="21" spans="1:2" x14ac:dyDescent="0.25">
      <c r="A21" s="7" t="s">
        <v>175</v>
      </c>
      <c r="B21" s="39">
        <v>27721.85</v>
      </c>
    </row>
    <row r="23" spans="1:2" x14ac:dyDescent="0.25">
      <c r="A23" s="6" t="s">
        <v>209</v>
      </c>
      <c r="B23" t="s">
        <v>228</v>
      </c>
    </row>
    <row r="24" spans="1:2" x14ac:dyDescent="0.25">
      <c r="A24" s="7" t="s">
        <v>40</v>
      </c>
      <c r="B24" s="22">
        <v>21</v>
      </c>
    </row>
    <row r="25" spans="1:2" x14ac:dyDescent="0.25">
      <c r="A25" s="7" t="s">
        <v>24</v>
      </c>
      <c r="B25" s="22">
        <v>33</v>
      </c>
    </row>
    <row r="26" spans="1:2" x14ac:dyDescent="0.25">
      <c r="A26" s="7" t="s">
        <v>58</v>
      </c>
      <c r="B26" s="22">
        <v>27</v>
      </c>
    </row>
    <row r="27" spans="1:2" x14ac:dyDescent="0.25">
      <c r="A27" s="7" t="s">
        <v>55</v>
      </c>
      <c r="B27" s="22">
        <v>30</v>
      </c>
    </row>
    <row r="28" spans="1:2" x14ac:dyDescent="0.25">
      <c r="A28" s="7" t="s">
        <v>34</v>
      </c>
      <c r="B28" s="22">
        <v>30</v>
      </c>
    </row>
    <row r="29" spans="1:2" x14ac:dyDescent="0.25">
      <c r="A29" s="7" t="s">
        <v>63</v>
      </c>
      <c r="B29" s="22">
        <v>39</v>
      </c>
    </row>
    <row r="30" spans="1:2" x14ac:dyDescent="0.25">
      <c r="A30" s="7" t="s">
        <v>175</v>
      </c>
      <c r="B30" s="22">
        <v>180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1BFE-E655-45B4-9B8A-B48EE7829B31}">
  <dimension ref="A1:U71"/>
  <sheetViews>
    <sheetView topLeftCell="A48" workbookViewId="0">
      <selection activeCell="M71" sqref="M71"/>
    </sheetView>
  </sheetViews>
  <sheetFormatPr defaultRowHeight="15" x14ac:dyDescent="0.25"/>
  <cols>
    <col min="1" max="1" width="17.5703125" customWidth="1"/>
    <col min="2" max="2" width="14.42578125" bestFit="1" customWidth="1"/>
    <col min="3" max="3" width="15.28515625" bestFit="1" customWidth="1"/>
    <col min="4" max="4" width="16" bestFit="1" customWidth="1"/>
    <col min="5" max="5" width="12.7109375" customWidth="1"/>
    <col min="6" max="6" width="19.5703125" customWidth="1"/>
    <col min="8" max="8" width="12.85546875" bestFit="1" customWidth="1"/>
    <col min="20" max="20" width="15.5703125" bestFit="1" customWidth="1"/>
    <col min="21" max="21" width="11.7109375" bestFit="1" customWidth="1"/>
  </cols>
  <sheetData>
    <row r="1" spans="1:21" x14ac:dyDescent="0.25">
      <c r="A1" s="26" t="s">
        <v>176</v>
      </c>
      <c r="B1" s="26" t="s">
        <v>221</v>
      </c>
      <c r="C1" s="26" t="s">
        <v>225</v>
      </c>
      <c r="D1" s="26" t="s">
        <v>224</v>
      </c>
      <c r="T1" t="s">
        <v>176</v>
      </c>
      <c r="U1" t="s">
        <v>174</v>
      </c>
    </row>
    <row r="2" spans="1:21" x14ac:dyDescent="0.25">
      <c r="A2" s="27" t="s">
        <v>21</v>
      </c>
      <c r="B2" s="35">
        <v>256436</v>
      </c>
      <c r="C2" s="35">
        <v>198316</v>
      </c>
      <c r="D2" s="35">
        <v>434934</v>
      </c>
      <c r="H2" t="s">
        <v>54</v>
      </c>
      <c r="I2">
        <v>18</v>
      </c>
      <c r="J2">
        <v>14</v>
      </c>
      <c r="K2">
        <v>32</v>
      </c>
      <c r="T2" t="s">
        <v>21</v>
      </c>
      <c r="U2" s="35">
        <v>18122.25</v>
      </c>
    </row>
    <row r="3" spans="1:21" x14ac:dyDescent="0.25">
      <c r="A3" s="27" t="s">
        <v>57</v>
      </c>
      <c r="B3" s="35">
        <v>159090</v>
      </c>
      <c r="C3" s="35">
        <v>191657</v>
      </c>
      <c r="D3" s="35">
        <v>355318</v>
      </c>
      <c r="H3" t="s">
        <v>31</v>
      </c>
      <c r="I3">
        <v>19</v>
      </c>
      <c r="J3">
        <v>16</v>
      </c>
      <c r="K3">
        <v>35</v>
      </c>
      <c r="T3" t="s">
        <v>31</v>
      </c>
      <c r="U3" s="35">
        <v>20204</v>
      </c>
    </row>
    <row r="4" spans="1:21" x14ac:dyDescent="0.25">
      <c r="A4" s="27" t="s">
        <v>54</v>
      </c>
      <c r="B4" s="35">
        <v>130224</v>
      </c>
      <c r="C4" s="35">
        <v>173806</v>
      </c>
      <c r="D4" s="35">
        <v>328540</v>
      </c>
      <c r="H4" t="s">
        <v>39</v>
      </c>
      <c r="I4">
        <v>21</v>
      </c>
      <c r="J4">
        <v>14</v>
      </c>
      <c r="K4">
        <v>35</v>
      </c>
      <c r="T4" t="s">
        <v>57</v>
      </c>
      <c r="U4" s="35">
        <v>22207.375</v>
      </c>
    </row>
    <row r="5" spans="1:21" x14ac:dyDescent="0.25">
      <c r="A5" s="27" t="s">
        <v>39</v>
      </c>
      <c r="B5" s="35">
        <v>151788</v>
      </c>
      <c r="C5" s="35">
        <v>178498</v>
      </c>
      <c r="D5" s="35">
        <v>325594</v>
      </c>
      <c r="H5" t="s">
        <v>21</v>
      </c>
      <c r="I5">
        <v>18</v>
      </c>
      <c r="J5">
        <v>24</v>
      </c>
      <c r="K5">
        <v>42</v>
      </c>
      <c r="T5" t="s">
        <v>39</v>
      </c>
      <c r="U5" s="35">
        <v>23256.714285714286</v>
      </c>
    </row>
    <row r="6" spans="1:21" x14ac:dyDescent="0.25">
      <c r="A6" s="27" t="s">
        <v>31</v>
      </c>
      <c r="B6" s="35">
        <v>131607</v>
      </c>
      <c r="C6" s="35">
        <v>196228</v>
      </c>
      <c r="D6" s="35">
        <v>323264</v>
      </c>
      <c r="H6" t="s">
        <v>57</v>
      </c>
      <c r="I6">
        <v>20</v>
      </c>
      <c r="J6">
        <v>16</v>
      </c>
      <c r="K6">
        <v>36</v>
      </c>
      <c r="T6" t="s">
        <v>54</v>
      </c>
      <c r="U6" s="35">
        <v>23467.142857142859</v>
      </c>
    </row>
    <row r="8" spans="1:21" x14ac:dyDescent="0.25">
      <c r="B8" t="s">
        <v>214</v>
      </c>
    </row>
    <row r="9" spans="1:21" x14ac:dyDescent="0.25">
      <c r="B9" t="s">
        <v>25</v>
      </c>
      <c r="D9" t="s">
        <v>41</v>
      </c>
      <c r="F9" s="15"/>
    </row>
    <row r="10" spans="1:21" ht="15.75" thickBot="1" x14ac:dyDescent="0.3">
      <c r="A10" t="s">
        <v>213</v>
      </c>
      <c r="B10" s="18">
        <v>96</v>
      </c>
      <c r="C10" s="18"/>
      <c r="D10" s="18">
        <v>84</v>
      </c>
      <c r="F10" s="15"/>
    </row>
    <row r="11" spans="1:21" x14ac:dyDescent="0.25">
      <c r="F11" s="15"/>
    </row>
    <row r="12" spans="1:21" x14ac:dyDescent="0.25">
      <c r="F12" s="15"/>
    </row>
    <row r="13" spans="1:21" x14ac:dyDescent="0.25">
      <c r="F13" s="15"/>
    </row>
    <row r="14" spans="1:21" x14ac:dyDescent="0.25">
      <c r="F14" s="15"/>
    </row>
    <row r="34" spans="1:4" x14ac:dyDescent="0.25">
      <c r="A34" s="8" t="s">
        <v>209</v>
      </c>
      <c r="B34" s="8" t="s">
        <v>47</v>
      </c>
      <c r="C34" s="8"/>
      <c r="D34" s="8"/>
    </row>
    <row r="35" spans="1:4" x14ac:dyDescent="0.25">
      <c r="A35" s="7" t="s">
        <v>205</v>
      </c>
      <c r="B35" s="22">
        <v>32</v>
      </c>
      <c r="C35" s="22"/>
      <c r="D35" s="22"/>
    </row>
    <row r="36" spans="1:4" x14ac:dyDescent="0.25">
      <c r="A36" s="7" t="s">
        <v>207</v>
      </c>
      <c r="B36" s="22">
        <v>14</v>
      </c>
      <c r="C36" s="22"/>
      <c r="D36" s="22"/>
    </row>
    <row r="37" spans="1:4" x14ac:dyDescent="0.25">
      <c r="A37" s="7" t="s">
        <v>206</v>
      </c>
      <c r="B37" s="22">
        <v>8</v>
      </c>
      <c r="C37" s="22"/>
      <c r="D37" s="22"/>
    </row>
    <row r="39" spans="1:4" x14ac:dyDescent="0.25">
      <c r="A39" s="8" t="s">
        <v>209</v>
      </c>
      <c r="B39" s="8" t="s">
        <v>29</v>
      </c>
    </row>
    <row r="40" spans="1:4" x14ac:dyDescent="0.25">
      <c r="A40" s="7" t="s">
        <v>205</v>
      </c>
      <c r="B40" s="22">
        <v>35</v>
      </c>
    </row>
    <row r="41" spans="1:4" x14ac:dyDescent="0.25">
      <c r="A41" s="7" t="s">
        <v>207</v>
      </c>
      <c r="B41" s="22">
        <v>13</v>
      </c>
    </row>
    <row r="42" spans="1:4" x14ac:dyDescent="0.25">
      <c r="A42" s="7" t="s">
        <v>206</v>
      </c>
      <c r="B42" s="22">
        <v>4</v>
      </c>
    </row>
    <row r="44" spans="1:4" x14ac:dyDescent="0.25">
      <c r="A44" s="8" t="s">
        <v>209</v>
      </c>
      <c r="B44" s="8" t="s">
        <v>37</v>
      </c>
    </row>
    <row r="45" spans="1:4" x14ac:dyDescent="0.25">
      <c r="A45" s="7" t="s">
        <v>205</v>
      </c>
      <c r="B45" s="22">
        <v>51</v>
      </c>
    </row>
    <row r="46" spans="1:4" x14ac:dyDescent="0.25">
      <c r="A46" s="7" t="s">
        <v>207</v>
      </c>
      <c r="B46" s="22">
        <v>18</v>
      </c>
    </row>
    <row r="47" spans="1:4" x14ac:dyDescent="0.25">
      <c r="A47" s="7" t="s">
        <v>206</v>
      </c>
      <c r="B47" s="22">
        <v>5</v>
      </c>
    </row>
    <row r="67" spans="1:2" x14ac:dyDescent="0.25">
      <c r="A67" s="8" t="s">
        <v>209</v>
      </c>
      <c r="B67" s="8" t="s">
        <v>175</v>
      </c>
    </row>
    <row r="68" spans="1:2" x14ac:dyDescent="0.25">
      <c r="A68" s="7" t="s">
        <v>205</v>
      </c>
      <c r="B68" s="42">
        <v>368254</v>
      </c>
    </row>
    <row r="69" spans="1:2" x14ac:dyDescent="0.25">
      <c r="A69" s="7" t="s">
        <v>207</v>
      </c>
      <c r="B69" s="42">
        <v>149574</v>
      </c>
    </row>
    <row r="70" spans="1:2" x14ac:dyDescent="0.25">
      <c r="A70" s="7" t="s">
        <v>206</v>
      </c>
      <c r="B70" s="42">
        <v>59412</v>
      </c>
    </row>
    <row r="71" spans="1:2" x14ac:dyDescent="0.25">
      <c r="A71" s="40"/>
      <c r="B71" s="41"/>
    </row>
  </sheetData>
  <sortState xmlns:xlrd2="http://schemas.microsoft.com/office/spreadsheetml/2017/richdata2" ref="A68:B70">
    <sortCondition descending="1" ref="B68:B70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4193-5F42-4F1D-A90A-7E953D91622E}">
  <dimension ref="A1:M18"/>
  <sheetViews>
    <sheetView workbookViewId="0">
      <selection activeCell="E38" sqref="E38"/>
    </sheetView>
  </sheetViews>
  <sheetFormatPr defaultRowHeight="15" x14ac:dyDescent="0.25"/>
  <cols>
    <col min="1" max="1" width="21" bestFit="1" customWidth="1"/>
    <col min="2" max="2" width="21.28515625" bestFit="1" customWidth="1"/>
    <col min="3" max="3" width="14.42578125" bestFit="1" customWidth="1"/>
    <col min="4" max="4" width="16" bestFit="1" customWidth="1"/>
    <col min="5" max="5" width="20.140625" bestFit="1" customWidth="1"/>
    <col min="6" max="6" width="19.42578125" bestFit="1" customWidth="1"/>
    <col min="7" max="7" width="21.28515625" bestFit="1" customWidth="1"/>
    <col min="8" max="8" width="20.5703125" bestFit="1" customWidth="1"/>
    <col min="9" max="9" width="13.7109375" bestFit="1" customWidth="1"/>
    <col min="10" max="10" width="18.140625" bestFit="1" customWidth="1"/>
    <col min="12" max="12" width="17.7109375" bestFit="1" customWidth="1"/>
    <col min="13" max="13" width="19" bestFit="1" customWidth="1"/>
  </cols>
  <sheetData>
    <row r="1" spans="1:13" x14ac:dyDescent="0.25">
      <c r="A1" s="6" t="s">
        <v>178</v>
      </c>
      <c r="B1" s="6" t="s">
        <v>177</v>
      </c>
      <c r="F1" s="6" t="s">
        <v>179</v>
      </c>
      <c r="G1" s="6" t="s">
        <v>177</v>
      </c>
      <c r="J1" s="11"/>
    </row>
    <row r="2" spans="1:13" x14ac:dyDescent="0.25">
      <c r="A2" s="6" t="s">
        <v>176</v>
      </c>
      <c r="B2" t="s">
        <v>25</v>
      </c>
      <c r="C2" t="s">
        <v>41</v>
      </c>
      <c r="D2" t="s">
        <v>175</v>
      </c>
      <c r="F2" s="6" t="s">
        <v>176</v>
      </c>
      <c r="G2" t="s">
        <v>25</v>
      </c>
      <c r="H2" t="s">
        <v>41</v>
      </c>
      <c r="I2" t="s">
        <v>175</v>
      </c>
      <c r="J2" s="16" t="s">
        <v>184</v>
      </c>
      <c r="L2" t="s">
        <v>176</v>
      </c>
      <c r="M2" t="s">
        <v>174</v>
      </c>
    </row>
    <row r="3" spans="1:13" x14ac:dyDescent="0.25">
      <c r="A3" s="7" t="s">
        <v>54</v>
      </c>
      <c r="B3" s="10">
        <v>198316</v>
      </c>
      <c r="C3" s="10">
        <v>130224</v>
      </c>
      <c r="D3" s="10">
        <v>328540</v>
      </c>
      <c r="F3" s="7" t="s">
        <v>54</v>
      </c>
      <c r="G3" s="9">
        <v>18</v>
      </c>
      <c r="H3" s="9">
        <v>14</v>
      </c>
      <c r="I3" s="9">
        <v>32</v>
      </c>
      <c r="J3" s="21">
        <f>H3/I3</f>
        <v>0.4375</v>
      </c>
      <c r="L3" s="12" t="s">
        <v>54</v>
      </c>
      <c r="M3" s="13">
        <f>D3/H3</f>
        <v>23467.142857142859</v>
      </c>
    </row>
    <row r="4" spans="1:13" x14ac:dyDescent="0.25">
      <c r="A4" s="7" t="s">
        <v>31</v>
      </c>
      <c r="B4" s="10">
        <v>191657</v>
      </c>
      <c r="C4" s="10">
        <v>131607</v>
      </c>
      <c r="D4" s="10">
        <v>323264</v>
      </c>
      <c r="F4" s="7" t="s">
        <v>31</v>
      </c>
      <c r="G4" s="9">
        <v>19</v>
      </c>
      <c r="H4" s="9">
        <v>16</v>
      </c>
      <c r="I4" s="9">
        <v>35</v>
      </c>
      <c r="J4" s="21">
        <f t="shared" ref="J4:J8" si="0">H4/I4</f>
        <v>0.45714285714285713</v>
      </c>
      <c r="L4" s="12" t="s">
        <v>31</v>
      </c>
      <c r="M4" s="13">
        <f t="shared" ref="M4:M7" si="1">D4/H4</f>
        <v>20204</v>
      </c>
    </row>
    <row r="5" spans="1:13" x14ac:dyDescent="0.25">
      <c r="A5" s="7" t="s">
        <v>39</v>
      </c>
      <c r="B5" s="10">
        <v>173806</v>
      </c>
      <c r="C5" s="10">
        <v>151788</v>
      </c>
      <c r="D5" s="10">
        <v>325594</v>
      </c>
      <c r="F5" s="7" t="s">
        <v>39</v>
      </c>
      <c r="G5" s="9">
        <v>21</v>
      </c>
      <c r="H5" s="9">
        <v>14</v>
      </c>
      <c r="I5" s="9">
        <v>35</v>
      </c>
      <c r="J5" s="21">
        <f t="shared" si="0"/>
        <v>0.4</v>
      </c>
      <c r="L5" s="12" t="s">
        <v>39</v>
      </c>
      <c r="M5" s="13">
        <f t="shared" si="1"/>
        <v>23256.714285714286</v>
      </c>
    </row>
    <row r="6" spans="1:13" x14ac:dyDescent="0.25">
      <c r="A6" s="7" t="s">
        <v>21</v>
      </c>
      <c r="B6" s="10">
        <v>178498</v>
      </c>
      <c r="C6" s="10">
        <v>256436</v>
      </c>
      <c r="D6" s="10">
        <v>434934</v>
      </c>
      <c r="F6" s="7" t="s">
        <v>21</v>
      </c>
      <c r="G6" s="9">
        <v>18</v>
      </c>
      <c r="H6" s="9">
        <v>24</v>
      </c>
      <c r="I6" s="9">
        <v>42</v>
      </c>
      <c r="J6" s="21">
        <f t="shared" si="0"/>
        <v>0.5714285714285714</v>
      </c>
      <c r="L6" s="12" t="s">
        <v>21</v>
      </c>
      <c r="M6" s="13">
        <f t="shared" si="1"/>
        <v>18122.25</v>
      </c>
    </row>
    <row r="7" spans="1:13" x14ac:dyDescent="0.25">
      <c r="A7" s="7" t="s">
        <v>57</v>
      </c>
      <c r="B7" s="10">
        <v>196228</v>
      </c>
      <c r="C7" s="10">
        <v>159090</v>
      </c>
      <c r="D7" s="10">
        <v>355318</v>
      </c>
      <c r="F7" s="7" t="s">
        <v>57</v>
      </c>
      <c r="G7" s="9">
        <v>20</v>
      </c>
      <c r="H7" s="9">
        <v>16</v>
      </c>
      <c r="I7" s="9">
        <v>36</v>
      </c>
      <c r="J7" s="21">
        <f t="shared" si="0"/>
        <v>0.44444444444444442</v>
      </c>
      <c r="L7" s="12" t="s">
        <v>57</v>
      </c>
      <c r="M7" s="13">
        <f t="shared" si="1"/>
        <v>22207.375</v>
      </c>
    </row>
    <row r="8" spans="1:13" ht="15.75" thickBot="1" x14ac:dyDescent="0.3">
      <c r="A8" s="7" t="s">
        <v>175</v>
      </c>
      <c r="B8" s="10">
        <v>938505</v>
      </c>
      <c r="C8" s="10">
        <v>829145</v>
      </c>
      <c r="D8" s="10">
        <v>1767650</v>
      </c>
      <c r="F8" s="7" t="s">
        <v>175</v>
      </c>
      <c r="G8" s="9">
        <v>96</v>
      </c>
      <c r="H8" s="9">
        <v>84</v>
      </c>
      <c r="I8" s="9">
        <v>180</v>
      </c>
      <c r="J8" s="19">
        <f t="shared" si="0"/>
        <v>0.46666666666666667</v>
      </c>
    </row>
    <row r="10" spans="1:13" x14ac:dyDescent="0.25">
      <c r="L10" t="s">
        <v>176</v>
      </c>
      <c r="M10" t="s">
        <v>174</v>
      </c>
    </row>
    <row r="11" spans="1:13" x14ac:dyDescent="0.25">
      <c r="A11" s="6" t="s">
        <v>222</v>
      </c>
      <c r="B11" s="6" t="s">
        <v>177</v>
      </c>
      <c r="G11" s="20" t="s">
        <v>186</v>
      </c>
      <c r="H11" s="16" t="s">
        <v>183</v>
      </c>
      <c r="I11" s="16" t="s">
        <v>185</v>
      </c>
      <c r="J11" s="16" t="s">
        <v>184</v>
      </c>
      <c r="L11" s="1" t="s">
        <v>54</v>
      </c>
      <c r="M11" s="1" t="s">
        <v>50</v>
      </c>
    </row>
    <row r="12" spans="1:13" x14ac:dyDescent="0.25">
      <c r="A12" s="6" t="s">
        <v>176</v>
      </c>
      <c r="B12" t="s">
        <v>25</v>
      </c>
      <c r="C12" t="s">
        <v>41</v>
      </c>
      <c r="D12" t="s">
        <v>175</v>
      </c>
      <c r="G12" s="20" t="s">
        <v>223</v>
      </c>
      <c r="H12">
        <v>84</v>
      </c>
      <c r="I12">
        <v>180</v>
      </c>
      <c r="J12" s="15">
        <f>H12/I12</f>
        <v>0.46666666666666667</v>
      </c>
      <c r="L12" s="1" t="s">
        <v>39</v>
      </c>
      <c r="M12" s="1" t="s">
        <v>50</v>
      </c>
    </row>
    <row r="13" spans="1:13" x14ac:dyDescent="0.25">
      <c r="A13" s="7" t="s">
        <v>54</v>
      </c>
      <c r="B13" s="10">
        <v>49667</v>
      </c>
      <c r="C13" s="10">
        <v>50329</v>
      </c>
      <c r="D13" s="10">
        <v>99996</v>
      </c>
      <c r="G13" s="20" t="s">
        <v>50</v>
      </c>
      <c r="H13">
        <v>28</v>
      </c>
      <c r="I13">
        <v>67</v>
      </c>
      <c r="J13" s="15">
        <f t="shared" ref="J13:J14" si="2">H13/I13</f>
        <v>0.41791044776119401</v>
      </c>
      <c r="L13" s="1" t="s">
        <v>31</v>
      </c>
      <c r="M13" s="1" t="s">
        <v>182</v>
      </c>
    </row>
    <row r="14" spans="1:13" x14ac:dyDescent="0.25">
      <c r="A14" s="7" t="s">
        <v>31</v>
      </c>
      <c r="B14" s="10">
        <v>53583</v>
      </c>
      <c r="C14" s="10">
        <v>48727</v>
      </c>
      <c r="D14" s="10">
        <v>102310</v>
      </c>
      <c r="G14" s="20" t="s">
        <v>182</v>
      </c>
      <c r="H14">
        <v>56</v>
      </c>
      <c r="I14">
        <v>113</v>
      </c>
      <c r="J14" s="15">
        <f t="shared" si="2"/>
        <v>0.49557522123893805</v>
      </c>
      <c r="L14" s="1" t="s">
        <v>21</v>
      </c>
      <c r="M14" s="1" t="s">
        <v>182</v>
      </c>
    </row>
    <row r="15" spans="1:13" x14ac:dyDescent="0.25">
      <c r="A15" s="7" t="s">
        <v>39</v>
      </c>
      <c r="B15" s="10">
        <v>80105</v>
      </c>
      <c r="C15" s="10">
        <v>37822</v>
      </c>
      <c r="D15" s="10">
        <v>117927</v>
      </c>
      <c r="L15" s="1" t="s">
        <v>57</v>
      </c>
      <c r="M15" s="1" t="s">
        <v>182</v>
      </c>
    </row>
    <row r="16" spans="1:13" x14ac:dyDescent="0.25">
      <c r="A16" s="7" t="s">
        <v>21</v>
      </c>
      <c r="B16" s="10">
        <v>63391</v>
      </c>
      <c r="C16" s="10">
        <v>67024</v>
      </c>
      <c r="D16" s="10">
        <v>130415</v>
      </c>
    </row>
    <row r="17" spans="1:4" x14ac:dyDescent="0.25">
      <c r="A17" s="7" t="s">
        <v>57</v>
      </c>
      <c r="B17" s="10">
        <v>72599</v>
      </c>
      <c r="C17" s="10">
        <v>53993</v>
      </c>
      <c r="D17" s="10">
        <v>126592</v>
      </c>
    </row>
    <row r="18" spans="1:4" x14ac:dyDescent="0.25">
      <c r="A18" s="7" t="s">
        <v>175</v>
      </c>
      <c r="B18" s="10">
        <v>319345</v>
      </c>
      <c r="C18" s="10">
        <v>257895</v>
      </c>
      <c r="D18" s="10">
        <v>577240</v>
      </c>
    </row>
  </sheetData>
  <pageMargins left="0.511811024" right="0.511811024" top="0.78740157499999996" bottom="0.78740157499999996" header="0.31496062000000002" footer="0.31496062000000002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34E0-BF63-4736-A802-9E2D9ED0C1D0}">
  <dimension ref="B1:U82"/>
  <sheetViews>
    <sheetView tabSelected="1" topLeftCell="A42" zoomScaleNormal="100" workbookViewId="0">
      <selection activeCell="V52" sqref="V52"/>
    </sheetView>
  </sheetViews>
  <sheetFormatPr defaultRowHeight="15" x14ac:dyDescent="0.25"/>
  <cols>
    <col min="4" max="4" width="11.140625" customWidth="1"/>
    <col min="12" max="12" width="9.140625" customWidth="1"/>
  </cols>
  <sheetData>
    <row r="1" spans="2:21" ht="31.5" x14ac:dyDescent="0.5">
      <c r="B1" s="23" t="s">
        <v>212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5"/>
      <c r="U1" s="34"/>
    </row>
    <row r="3" spans="2:21" ht="26.25" x14ac:dyDescent="0.25">
      <c r="B3" s="28">
        <v>1767650</v>
      </c>
      <c r="C3" s="28"/>
      <c r="D3" s="28"/>
      <c r="F3" s="30">
        <v>180</v>
      </c>
      <c r="G3" s="30"/>
      <c r="H3" s="30"/>
      <c r="J3" s="31">
        <v>0.46666666666666667</v>
      </c>
      <c r="K3" s="31"/>
      <c r="L3" s="31"/>
      <c r="N3" s="33" t="s">
        <v>21</v>
      </c>
      <c r="O3" s="33"/>
      <c r="P3" s="33"/>
      <c r="R3" s="28">
        <v>21292.6309523809</v>
      </c>
      <c r="S3" s="28"/>
      <c r="T3" s="28"/>
    </row>
    <row r="4" spans="2:21" ht="21" x14ac:dyDescent="0.25">
      <c r="B4" s="29" t="s">
        <v>215</v>
      </c>
      <c r="C4" s="29"/>
      <c r="D4" s="29"/>
      <c r="F4" s="29" t="s">
        <v>216</v>
      </c>
      <c r="G4" s="29"/>
      <c r="H4" s="29"/>
      <c r="J4" s="32" t="s">
        <v>217</v>
      </c>
      <c r="K4" s="32"/>
      <c r="L4" s="32"/>
      <c r="N4" s="32" t="s">
        <v>218</v>
      </c>
      <c r="O4" s="32"/>
      <c r="P4" s="32"/>
      <c r="R4" s="29" t="s">
        <v>220</v>
      </c>
      <c r="S4" s="29"/>
      <c r="T4" s="29"/>
    </row>
    <row r="23" spans="2:20" ht="26.25" x14ac:dyDescent="0.25">
      <c r="B23" s="36" t="s">
        <v>226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8"/>
    </row>
    <row r="40" spans="2:20" ht="28.5" x14ac:dyDescent="0.45">
      <c r="B40" s="43" t="s">
        <v>241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5"/>
    </row>
    <row r="73" spans="2:20" ht="21" x14ac:dyDescent="0.35">
      <c r="B73" s="46" t="s">
        <v>229</v>
      </c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8"/>
    </row>
    <row r="76" spans="2:20" ht="31.5" x14ac:dyDescent="0.5">
      <c r="H76" s="23" t="s">
        <v>230</v>
      </c>
      <c r="I76" s="24"/>
      <c r="J76" s="24"/>
      <c r="K76" s="24"/>
      <c r="L76" s="24"/>
      <c r="M76" s="24"/>
      <c r="N76" s="24"/>
      <c r="O76" s="25"/>
    </row>
    <row r="78" spans="2:20" x14ac:dyDescent="0.25">
      <c r="B78" s="55" t="s">
        <v>233</v>
      </c>
      <c r="C78" s="56"/>
      <c r="D78" s="56"/>
      <c r="E78" s="49" t="s">
        <v>237</v>
      </c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50"/>
    </row>
    <row r="79" spans="2:20" x14ac:dyDescent="0.25">
      <c r="B79" s="57" t="s">
        <v>234</v>
      </c>
      <c r="C79" s="58"/>
      <c r="D79" s="58"/>
      <c r="E79" s="51" t="s">
        <v>235</v>
      </c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2"/>
    </row>
    <row r="80" spans="2:20" x14ac:dyDescent="0.25">
      <c r="B80" s="57" t="s">
        <v>231</v>
      </c>
      <c r="C80" s="58"/>
      <c r="D80" s="58"/>
      <c r="E80" s="51" t="s">
        <v>236</v>
      </c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2"/>
    </row>
    <row r="81" spans="2:20" x14ac:dyDescent="0.25">
      <c r="B81" s="57" t="s">
        <v>232</v>
      </c>
      <c r="C81" s="58"/>
      <c r="D81" s="58"/>
      <c r="E81" s="51" t="s">
        <v>240</v>
      </c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2"/>
    </row>
    <row r="82" spans="2:20" x14ac:dyDescent="0.25">
      <c r="B82" s="59" t="s">
        <v>238</v>
      </c>
      <c r="C82" s="60"/>
      <c r="D82" s="60"/>
      <c r="E82" s="53" t="s">
        <v>239</v>
      </c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4"/>
    </row>
  </sheetData>
  <mergeCells count="25">
    <mergeCell ref="E82:T82"/>
    <mergeCell ref="H76:O76"/>
    <mergeCell ref="B78:D78"/>
    <mergeCell ref="B79:D79"/>
    <mergeCell ref="B80:D80"/>
    <mergeCell ref="B81:D81"/>
    <mergeCell ref="B82:D82"/>
    <mergeCell ref="E78:T78"/>
    <mergeCell ref="E79:T79"/>
    <mergeCell ref="E80:T80"/>
    <mergeCell ref="E81:T81"/>
    <mergeCell ref="R3:T3"/>
    <mergeCell ref="R4:T4"/>
    <mergeCell ref="B1:T1"/>
    <mergeCell ref="B23:T23"/>
    <mergeCell ref="B40:T40"/>
    <mergeCell ref="B73:T73"/>
    <mergeCell ref="B3:D3"/>
    <mergeCell ref="B4:D4"/>
    <mergeCell ref="F3:H3"/>
    <mergeCell ref="F4:H4"/>
    <mergeCell ref="J3:L3"/>
    <mergeCell ref="J4:L4"/>
    <mergeCell ref="N3:P3"/>
    <mergeCell ref="N4:P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Dados Brutos</vt:lpstr>
      <vt:lpstr>Observações</vt:lpstr>
      <vt:lpstr>Dados Tratados</vt:lpstr>
      <vt:lpstr>Análises de Faixa Etária</vt:lpstr>
      <vt:lpstr>Gráficos</vt:lpstr>
      <vt:lpstr>Tabela Dinâmica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Ramalho</dc:creator>
  <cp:lastModifiedBy>Lucas Ramalho</cp:lastModifiedBy>
  <dcterms:created xsi:type="dcterms:W3CDTF">2026-01-19T12:34:35Z</dcterms:created>
  <dcterms:modified xsi:type="dcterms:W3CDTF">2026-01-19T16:32:27Z</dcterms:modified>
</cp:coreProperties>
</file>