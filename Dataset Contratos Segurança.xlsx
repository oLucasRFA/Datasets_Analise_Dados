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4C0B614-F615-48DB-8080-EDEEE7A4C987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Planilha2" sheetId="6" r:id="rId1"/>
    <sheet name="Contratos" sheetId="1" r:id="rId2"/>
    <sheet name="Detalhes Financeiros" sheetId="2" r:id="rId3"/>
    <sheet name="Análise Regional" sheetId="3" r:id="rId4"/>
    <sheet name="Tipos de Serviço" sheetId="5" r:id="rId5"/>
    <sheet name="Lucro Líquido Por Mês" sheetId="7" r:id="rId6"/>
  </sheets>
  <definedNames>
    <definedName name="_xlnm._FilterDatabase" localSheetId="1" hidden="1">Contratos!$A$1:$K$21</definedName>
    <definedName name="_xlnm._FilterDatabase" localSheetId="2" hidden="1">'Detalhes Financeiros'!$A$1:$G$21</definedName>
  </definedNames>
  <calcPr calcId="191029"/>
  <pivotCaches>
    <pivotCache cacheId="2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H2" i="1" s="1"/>
  <c r="L3" i="1"/>
  <c r="H3" i="1" s="1"/>
  <c r="L4" i="1"/>
  <c r="H4" i="1" s="1"/>
  <c r="L5" i="1"/>
  <c r="H5" i="1" s="1"/>
  <c r="L6" i="1"/>
  <c r="H6" i="1" s="1"/>
  <c r="L7" i="1"/>
  <c r="H7" i="1" s="1"/>
  <c r="L8" i="1"/>
  <c r="H8" i="1" s="1"/>
  <c r="L9" i="1"/>
  <c r="H9" i="1" s="1"/>
  <c r="L10" i="1"/>
  <c r="H10" i="1" s="1"/>
  <c r="L11" i="1"/>
  <c r="H11" i="1" s="1"/>
  <c r="L12" i="1"/>
  <c r="H12" i="1" s="1"/>
  <c r="L13" i="1"/>
  <c r="H13" i="1" s="1"/>
  <c r="L14" i="1"/>
  <c r="H14" i="1" s="1"/>
  <c r="L15" i="1"/>
  <c r="H15" i="1" s="1"/>
  <c r="L16" i="1"/>
  <c r="H16" i="1" s="1"/>
  <c r="L17" i="1"/>
  <c r="H17" i="1" s="1"/>
  <c r="L18" i="1"/>
  <c r="H18" i="1" s="1"/>
  <c r="L19" i="1"/>
  <c r="H19" i="1" s="1"/>
  <c r="L20" i="1"/>
  <c r="H20" i="1" s="1"/>
  <c r="L21" i="1"/>
  <c r="H21" i="1" s="1"/>
</calcChain>
</file>

<file path=xl/sharedStrings.xml><?xml version="1.0" encoding="utf-8"?>
<sst xmlns="http://schemas.openxmlformats.org/spreadsheetml/2006/main" count="221" uniqueCount="130">
  <si>
    <t>CT001</t>
  </si>
  <si>
    <t>CT002</t>
  </si>
  <si>
    <t>CT003</t>
  </si>
  <si>
    <t>CT004</t>
  </si>
  <si>
    <t>CT005</t>
  </si>
  <si>
    <t>CT006</t>
  </si>
  <si>
    <t>CT007</t>
  </si>
  <si>
    <t>CT008</t>
  </si>
  <si>
    <t>CT009</t>
  </si>
  <si>
    <t>CT010</t>
  </si>
  <si>
    <t>CT011</t>
  </si>
  <si>
    <t>CT012</t>
  </si>
  <si>
    <t>CT013</t>
  </si>
  <si>
    <t>CT014</t>
  </si>
  <si>
    <t>CT015</t>
  </si>
  <si>
    <t>CT016</t>
  </si>
  <si>
    <t>CT017</t>
  </si>
  <si>
    <t>CT018</t>
  </si>
  <si>
    <t>CT019</t>
  </si>
  <si>
    <t>CT020</t>
  </si>
  <si>
    <t>Tecnix Solutions LTDA</t>
  </si>
  <si>
    <t>Banco Capital S.A.</t>
  </si>
  <si>
    <t>Industrial Steel Brasil</t>
  </si>
  <si>
    <t>Shopping Center Premium</t>
  </si>
  <si>
    <t>Farmácia Universal Distribuidora</t>
  </si>
  <si>
    <t>Condomínio Executivo Plaza</t>
  </si>
  <si>
    <t>Hospital São Lucas</t>
  </si>
  <si>
    <t>Logística Express Cargo</t>
  </si>
  <si>
    <t>Joias Premium Luxury</t>
  </si>
  <si>
    <t>Data Center Cloud Brasil</t>
  </si>
  <si>
    <t>Universidade Federal do Estado</t>
  </si>
  <si>
    <t>Indústria Química Consolidada</t>
  </si>
  <si>
    <t>Agência Bancária Metro Central</t>
  </si>
  <si>
    <t>Resort Beach Paradise</t>
  </si>
  <si>
    <t>Mineradora Ouro Puro</t>
  </si>
  <si>
    <t>Empresa Telecom Nacional</t>
  </si>
  <si>
    <t>Rede Supermercados Premium</t>
  </si>
  <si>
    <t>Estacionamento Inteligente Park</t>
  </si>
  <si>
    <t>Fábrica Automotiva Brasil</t>
  </si>
  <si>
    <t>Consulado Estrangeiro</t>
  </si>
  <si>
    <t>12.345.678/0001-90</t>
  </si>
  <si>
    <t>98.765.432/0001-00</t>
  </si>
  <si>
    <t>45.678.901/0002-15</t>
  </si>
  <si>
    <t>11.222.333/0001-44</t>
  </si>
  <si>
    <t>55.667.788/0002-99</t>
  </si>
  <si>
    <t>77.888.999/0001-22</t>
  </si>
  <si>
    <t>33.444.555/0002-66</t>
  </si>
  <si>
    <t>88.999.000/0001-11</t>
  </si>
  <si>
    <t>22.333.444/0002-77</t>
  </si>
  <si>
    <t>66.777.888/0001-33</t>
  </si>
  <si>
    <t>44.555.666/0002-88</t>
  </si>
  <si>
    <t>99.000.111/0001-55</t>
  </si>
  <si>
    <t>11.234.567/0002-90</t>
  </si>
  <si>
    <t>88.111.222/0001-66</t>
  </si>
  <si>
    <t>55.444.333/0002-11</t>
  </si>
  <si>
    <t>22.111.000/0001-44</t>
  </si>
  <si>
    <t>77.555.666/0002-33</t>
  </si>
  <si>
    <t>33.222.111/0001-99</t>
  </si>
  <si>
    <t>99.888.777/0002-22</t>
  </si>
  <si>
    <t>44.666.777/0001-11</t>
  </si>
  <si>
    <t>Vigilância Patrimonial</t>
  </si>
  <si>
    <t>Segurança Armada</t>
  </si>
  <si>
    <t>Transporte de Valores</t>
  </si>
  <si>
    <t>Escolta Armada</t>
  </si>
  <si>
    <t>Patrulhamento Preventivo</t>
  </si>
  <si>
    <t>Guarda de Valores</t>
  </si>
  <si>
    <t>Vigilância Anti-Roubo</t>
  </si>
  <si>
    <t>Câmeras, Alarmes</t>
  </si>
  <si>
    <t>Equipamentos Proteção, Comunicadores</t>
  </si>
  <si>
    <t>Sensores, Central Monitoramento</t>
  </si>
  <si>
    <t>Catracas, Câmeras 4K, Sistema RFID</t>
  </si>
  <si>
    <t>Veículos Blindados, Cofres</t>
  </si>
  <si>
    <t>Câmeras IP, Intercomunicador</t>
  </si>
  <si>
    <t>Botões Pânico, Câmeras, Sensores</t>
  </si>
  <si>
    <t>Drones, Câmeras Térmicas</t>
  </si>
  <si>
    <t>Veículos, Comunicadores, Armas</t>
  </si>
  <si>
    <t>Controle Biométrico, Câmeras 8K</t>
  </si>
  <si>
    <t>Viaturas, Comunicadores</t>
  </si>
  <si>
    <t>Câmeras Infravermelhas, Sensores</t>
  </si>
  <si>
    <t>Cofres, Câmeras, Alarmes</t>
  </si>
  <si>
    <t>Coletes, Rádios, Câmeras Portáteis</t>
  </si>
  <si>
    <t>Leitores de Cartão, Sistema de Fila</t>
  </si>
  <si>
    <t>Comunicadores Encriptados, Veículos</t>
  </si>
  <si>
    <t>Sensores EAS, Câmeras, Software</t>
  </si>
  <si>
    <t>Câmeras ANPR, Sistemas Inteligentes</t>
  </si>
  <si>
    <t>Todos Equipamentos</t>
  </si>
  <si>
    <t>Sistemas Anti-Explosivos, Segurança</t>
  </si>
  <si>
    <t>São Paulo</t>
  </si>
  <si>
    <t>Rio de Janeiro</t>
  </si>
  <si>
    <t>Minas Gerais</t>
  </si>
  <si>
    <t>Paraná</t>
  </si>
  <si>
    <t>Pernambuco</t>
  </si>
  <si>
    <t>Bahia</t>
  </si>
  <si>
    <t>Santa Catarina</t>
  </si>
  <si>
    <t>ID Contrato</t>
  </si>
  <si>
    <t>Empresa Contratante</t>
  </si>
  <si>
    <t>CNPJ</t>
  </si>
  <si>
    <t>Tipo Serviço</t>
  </si>
  <si>
    <t>Valor Mensal (R$)</t>
  </si>
  <si>
    <t>Data Início</t>
  </si>
  <si>
    <t>Data Fim</t>
  </si>
  <si>
    <t>Status</t>
  </si>
  <si>
    <t>Profissionais Alocados</t>
  </si>
  <si>
    <t>Equipamentos</t>
  </si>
  <si>
    <t>Região</t>
  </si>
  <si>
    <t>Valor Mensal</t>
  </si>
  <si>
    <t>Valor Anual</t>
  </si>
  <si>
    <t>Forma Pagamento</t>
  </si>
  <si>
    <t>Margem Lucro (%)</t>
  </si>
  <si>
    <t>Custo Operacional</t>
  </si>
  <si>
    <t>Lucro Líquido</t>
  </si>
  <si>
    <t>Monitoramento Eletrônico</t>
  </si>
  <si>
    <t>Quantidade Contratos</t>
  </si>
  <si>
    <t>Valor Total Mensal</t>
  </si>
  <si>
    <t>Serviço Mais Contratado</t>
  </si>
  <si>
    <t>Ticket Médio</t>
  </si>
  <si>
    <t>Tempo Até Fim</t>
  </si>
  <si>
    <t>TED</t>
  </si>
  <si>
    <t>Débito</t>
  </si>
  <si>
    <t>Boleto</t>
  </si>
  <si>
    <t>Contagem de CNPJ</t>
  </si>
  <si>
    <t>Rótulos de Linha</t>
  </si>
  <si>
    <t>Total Geral</t>
  </si>
  <si>
    <t>Vigilância</t>
  </si>
  <si>
    <t>Segurança Particular</t>
  </si>
  <si>
    <t>Monitoramento</t>
  </si>
  <si>
    <t>Tipo de Serviço</t>
  </si>
  <si>
    <t>Clientes</t>
  </si>
  <si>
    <t>Mês</t>
  </si>
  <si>
    <t>Lucro Líquido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</si>
</sst>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5" formatCode="&quot;R$&quot;\ #,##0.00"/>
    <numFmt numFmtId="166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5" fontId="0" fillId="0" borderId="0" xfId="0" applyNumberFormat="1"/>
    <xf numFmtId="166" fontId="0" fillId="0" borderId="0" xfId="0" applyNumberFormat="1"/>
    <xf numFmtId="44" fontId="0" fillId="0" borderId="0" xfId="1" applyFon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2">
    <cellStyle name="Moeda" xfId="1" builtinId="4"/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numFmt numFmtId="22" formatCode="mmm/yy"/>
      <alignment horizontal="center" vertical="center" textRotation="0" wrapText="0" indent="0" justifyLastLine="0" shrinkToFit="0" readingOrder="0"/>
    </dxf>
    <dxf>
      <fill>
        <patternFill patternType="solid">
          <fgColor rgb="FFFFC7CE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62.484631134263" createdVersion="8" refreshedVersion="8" minRefreshableVersion="3" recordCount="20" xr:uid="{5E097895-73BB-41A5-9679-C20F71D8A501}">
  <cacheSource type="worksheet">
    <worksheetSource ref="A1:L21" sheet="Contratos"/>
  </cacheSource>
  <cacheFields count="12">
    <cacheField name="ID Contrato" numFmtId="0">
      <sharedItems/>
    </cacheField>
    <cacheField name="Empresa Contratante" numFmtId="0">
      <sharedItems/>
    </cacheField>
    <cacheField name="CNPJ" numFmtId="0">
      <sharedItems/>
    </cacheField>
    <cacheField name="Tipo Serviço" numFmtId="0">
      <sharedItems count="23">
        <s v="Vigilância"/>
        <s v="Segurança Particular"/>
        <s v="Monitoramento"/>
        <s v="Transporte de Valores"/>
        <s v="Escolta Armada"/>
        <s v="Portaria Remota" u="1"/>
        <s v="Patrulhamento Preventivo" u="1"/>
        <s v="Guarda de Valores" u="1"/>
        <s v="Proteção VIP de Executivos" u="1"/>
        <s v="Acesso Remoto Monitorado" u="1"/>
        <s v="Vigilância Patrimonial" u="1"/>
        <s v="Segurança Armada" u="1"/>
        <s v="Monitoramento Eletrônico 24h" u="1"/>
        <s v="Vigilância + Controle Acesso" u="1"/>
        <s v="Segurança Hospitalar" u="1"/>
        <s v="Vigilância Industrial" u="1"/>
        <s v="Segurança Integrada" u="1"/>
        <s v="Vigilância Noturna Reforçada" u="1"/>
        <s v="Segurança de Eventos" u="1"/>
        <s v="Vigilância Anti-Roubo" u="1"/>
        <s v="Monitoramento Veículos 24h" u="1"/>
        <s v="Segurança Integrada Plena" u="1"/>
        <s v="Segurança Diplomática" u="1"/>
      </sharedItems>
    </cacheField>
    <cacheField name="Valor Mensal (R$)" numFmtId="44">
      <sharedItems containsSemiMixedTypes="0" containsString="0" containsNumber="1" containsInteger="1" minValue="3800" maxValue="25000"/>
    </cacheField>
    <cacheField name="Data Início" numFmtId="14">
      <sharedItems containsSemiMixedTypes="0" containsNonDate="0" containsDate="1" containsString="0" minDate="2023-09-01T00:00:00" maxDate="2025-05-02T00:00:00"/>
    </cacheField>
    <cacheField name="Data Fim" numFmtId="14">
      <sharedItems containsSemiMixedTypes="0" containsNonDate="0" containsDate="1" containsString="0" minDate="2025-05-20T00:00:00" maxDate="2027-09-01T00:00:00"/>
    </cacheField>
    <cacheField name="Status" numFmtId="0">
      <sharedItems/>
    </cacheField>
    <cacheField name="Profissionais Alocados" numFmtId="0">
      <sharedItems containsSemiMixedTypes="0" containsString="0" containsNumber="1" containsInteger="1" minValue="4" maxValue="25"/>
    </cacheField>
    <cacheField name="Equipamentos" numFmtId="0">
      <sharedItems/>
    </cacheField>
    <cacheField name="Região" numFmtId="0">
      <sharedItems count="7">
        <s v="São Paulo"/>
        <s v="Rio de Janeiro"/>
        <s v="Minas Gerais"/>
        <s v="Paraná"/>
        <s v="Pernambuco"/>
        <s v="Bahia"/>
        <s v="Santa Catarina"/>
      </sharedItems>
    </cacheField>
    <cacheField name="Tempo Até Fim" numFmtId="0">
      <sharedItems containsSemiMixedTypes="0" containsString="0" containsNumber="1" containsInteger="1" minValue="-265" maxValue="5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CT001"/>
    <s v="Tecnix Solutions LTDA"/>
    <s v="12.345.678/0001-90"/>
    <x v="0"/>
    <n v="8500"/>
    <d v="2025-01-15T00:00:00"/>
    <d v="2026-01-14T00:00:00"/>
    <s v="Concluído"/>
    <n v="12"/>
    <s v="Câmeras, Alarmes"/>
    <x v="0"/>
    <n v="-26"/>
  </r>
  <r>
    <s v="CT002"/>
    <s v="Banco Capital S.A."/>
    <s v="98.765.432/0001-00"/>
    <x v="1"/>
    <n v="22000"/>
    <d v="2024-06-01T00:00:00"/>
    <d v="2027-05-31T00:00:00"/>
    <s v="Ativo"/>
    <n v="8"/>
    <s v="Equipamentos Proteção, Comunicadores"/>
    <x v="1"/>
    <n v="476"/>
  </r>
  <r>
    <s v="CT003"/>
    <s v="Industrial Steel Brasil"/>
    <s v="45.678.901/0002-15"/>
    <x v="2"/>
    <n v="5200"/>
    <d v="2025-03-10T00:00:00"/>
    <d v="2026-03-09T00:00:00"/>
    <s v="Ativo"/>
    <n v="6"/>
    <s v="Sensores, Central Monitoramento"/>
    <x v="2"/>
    <n v="28"/>
  </r>
  <r>
    <s v="CT004"/>
    <s v="Shopping Center Premium"/>
    <s v="11.222.333/0001-44"/>
    <x v="0"/>
    <n v="12000"/>
    <d v="2024-11-01T00:00:00"/>
    <d v="2025-10-31T00:00:00"/>
    <s v="Concluído"/>
    <n v="15"/>
    <s v="Catracas, Câmeras 4K, Sistema RFID"/>
    <x v="0"/>
    <n v="-101"/>
  </r>
  <r>
    <s v="CT005"/>
    <s v="Farmácia Universal Distribuidora"/>
    <s v="55.667.788/0002-99"/>
    <x v="3"/>
    <n v="18500"/>
    <d v="2025-02-01T00:00:00"/>
    <d v="2026-01-31T00:00:00"/>
    <s v="Concluído"/>
    <n v="10"/>
    <s v="Veículos Blindados, Cofres"/>
    <x v="3"/>
    <n v="-9"/>
  </r>
  <r>
    <s v="CT006"/>
    <s v="Condomínio Executivo Plaza"/>
    <s v="77.888.999/0001-22"/>
    <x v="2"/>
    <n v="3800"/>
    <d v="2025-01-01T00:00:00"/>
    <d v="2025-12-31T00:00:00"/>
    <s v="Concluído"/>
    <n v="4"/>
    <s v="Câmeras IP, Intercomunicador"/>
    <x v="0"/>
    <n v="-40"/>
  </r>
  <r>
    <s v="CT007"/>
    <s v="Hospital São Lucas"/>
    <s v="33.444.555/0002-66"/>
    <x v="1"/>
    <n v="15000"/>
    <d v="2024-08-15T00:00:00"/>
    <d v="2026-08-14T00:00:00"/>
    <s v="Ativo"/>
    <n v="18"/>
    <s v="Botões Pânico, Câmeras, Sensores"/>
    <x v="2"/>
    <n v="186"/>
  </r>
  <r>
    <s v="CT008"/>
    <s v="Logística Express Cargo"/>
    <s v="88.999.000/0001-11"/>
    <x v="0"/>
    <n v="9800"/>
    <d v="2025-04-01T00:00:00"/>
    <d v="2026-03-31T00:00:00"/>
    <s v="Ativo"/>
    <n v="14"/>
    <s v="Drones, Câmeras Térmicas"/>
    <x v="0"/>
    <n v="50"/>
  </r>
  <r>
    <s v="CT009"/>
    <s v="Joias Premium Luxury"/>
    <s v="22.333.444/0002-77"/>
    <x v="4"/>
    <n v="25000"/>
    <d v="2023-12-01T00:00:00"/>
    <d v="2026-11-30T00:00:00"/>
    <s v="Ativo"/>
    <n v="6"/>
    <s v="Veículos, Comunicadores, Armas"/>
    <x v="1"/>
    <n v="294"/>
  </r>
  <r>
    <s v="CT010"/>
    <s v="Data Center Cloud Brasil"/>
    <s v="66.777.888/0001-33"/>
    <x v="1"/>
    <n v="19500"/>
    <d v="2024-09-01T00:00:00"/>
    <d v="2027-08-31T00:00:00"/>
    <s v="Ativo"/>
    <n v="20"/>
    <s v="Controle Biométrico, Câmeras 8K"/>
    <x v="0"/>
    <n v="568"/>
  </r>
  <r>
    <s v="CT011"/>
    <s v="Universidade Federal do Estado"/>
    <s v="44.555.666/0002-88"/>
    <x v="1"/>
    <n v="6500"/>
    <d v="2025-02-15T00:00:00"/>
    <d v="2026-02-14T00:00:00"/>
    <s v="Ativo"/>
    <n v="8"/>
    <s v="Viaturas, Comunicadores"/>
    <x v="4"/>
    <n v="5"/>
  </r>
  <r>
    <s v="CT012"/>
    <s v="Indústria Química Consolidada"/>
    <s v="99.000.111/0001-55"/>
    <x v="0"/>
    <n v="11200"/>
    <d v="2024-10-01T00:00:00"/>
    <d v="2025-09-30T00:00:00"/>
    <s v="Concluído"/>
    <n v="16"/>
    <s v="Câmeras Infravermelhas, Sensores"/>
    <x v="0"/>
    <n v="-132"/>
  </r>
  <r>
    <s v="CT013"/>
    <s v="Agência Bancária Metro Central"/>
    <s v="11.234.567/0002-90"/>
    <x v="2"/>
    <n v="13500"/>
    <d v="2025-01-10T00:00:00"/>
    <d v="2026-01-09T00:00:00"/>
    <s v="Concluído"/>
    <n v="12"/>
    <s v="Cofres, Câmeras, Alarmes"/>
    <x v="5"/>
    <n v="-31"/>
  </r>
  <r>
    <s v="CT014"/>
    <s v="Resort Beach Paradise"/>
    <s v="88.111.222/0001-66"/>
    <x v="1"/>
    <n v="4200"/>
    <d v="2025-04-20T00:00:00"/>
    <d v="2025-05-20T00:00:00"/>
    <s v="Concluído"/>
    <n v="10"/>
    <s v="Coletes, Rádios, Câmeras Portáteis"/>
    <x v="5"/>
    <n v="-265"/>
  </r>
  <r>
    <s v="CT015"/>
    <s v="Mineradora Ouro Puro"/>
    <s v="55.444.333/0002-11"/>
    <x v="2"/>
    <n v="7800"/>
    <d v="2024-07-01T00:00:00"/>
    <d v="2027-06-30T00:00:00"/>
    <s v="Ativo"/>
    <n v="9"/>
    <s v="Leitores de Cartão, Sistema de Fila"/>
    <x v="2"/>
    <n v="506"/>
  </r>
  <r>
    <s v="CT016"/>
    <s v="Empresa Telecom Nacional"/>
    <s v="22.111.000/0001-44"/>
    <x v="1"/>
    <n v="16000"/>
    <d v="2025-03-01T00:00:00"/>
    <d v="2026-02-28T00:00:00"/>
    <s v="Ativo"/>
    <n v="6"/>
    <s v="Comunicadores Encriptados, Veículos"/>
    <x v="0"/>
    <n v="19"/>
  </r>
  <r>
    <s v="CT017"/>
    <s v="Rede Supermercados Premium"/>
    <s v="77.555.666/0002-33"/>
    <x v="0"/>
    <n v="8900"/>
    <d v="2024-12-01T00:00:00"/>
    <d v="2025-11-30T00:00:00"/>
    <s v="Concluído"/>
    <n v="11"/>
    <s v="Sensores EAS, Câmeras, Software"/>
    <x v="6"/>
    <n v="-71"/>
  </r>
  <r>
    <s v="CT018"/>
    <s v="Estacionamento Inteligente Park"/>
    <s v="33.222.111/0001-99"/>
    <x v="2"/>
    <n v="5600"/>
    <d v="2025-05-01T00:00:00"/>
    <d v="2026-04-30T00:00:00"/>
    <s v="Ativo"/>
    <n v="7"/>
    <s v="Câmeras ANPR, Sistemas Inteligentes"/>
    <x v="1"/>
    <n v="80"/>
  </r>
  <r>
    <s v="CT019"/>
    <s v="Fábrica Automotiva Brasil"/>
    <s v="99.888.777/0002-22"/>
    <x v="1"/>
    <n v="24000"/>
    <d v="2024-05-15T00:00:00"/>
    <d v="2027-05-14T00:00:00"/>
    <s v="Ativo"/>
    <n v="25"/>
    <s v="Todos Equipamentos"/>
    <x v="0"/>
    <n v="459"/>
  </r>
  <r>
    <s v="CT020"/>
    <s v="Consulado Estrangeiro"/>
    <s v="44.666.777/0001-11"/>
    <x v="1"/>
    <n v="20000"/>
    <d v="2023-09-01T00:00:00"/>
    <d v="2026-08-31T00:00:00"/>
    <s v="Ativo"/>
    <n v="16"/>
    <s v="Sistemas Anti-Explosivos, Segurança"/>
    <x v="1"/>
    <n v="2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9D1E7-944D-41DF-A84A-DFD4564F0B2A}" name="Tabela dinâmica2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12">
    <pivotField showAll="0"/>
    <pivotField showAll="0"/>
    <pivotField dataField="1" showAll="0"/>
    <pivotField showAll="0"/>
    <pivotField numFmtId="44" showAll="0"/>
    <pivotField numFmtId="14" showAll="0"/>
    <pivotField numFmtId="14" showAll="0"/>
    <pivotField showAll="0"/>
    <pivotField showAll="0"/>
    <pivotField showAll="0"/>
    <pivotField axis="axisRow" showAll="0" sortType="descending">
      <items count="8">
        <item x="5"/>
        <item x="2"/>
        <item x="3"/>
        <item x="4"/>
        <item x="1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8">
    <i>
      <x v="6"/>
    </i>
    <i>
      <x v="4"/>
    </i>
    <i>
      <x v="1"/>
    </i>
    <i>
      <x/>
    </i>
    <i>
      <x v="5"/>
    </i>
    <i>
      <x v="2"/>
    </i>
    <i>
      <x v="3"/>
    </i>
    <i t="grand">
      <x/>
    </i>
  </rowItems>
  <colItems count="1">
    <i/>
  </colItems>
  <dataFields count="1">
    <dataField name="Contagem de CNPJ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F5F94-1DC8-4C8B-ACFF-4CE03251F1B0}" name="Tabela dinâ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Serviço">
  <location ref="A3:B9" firstHeaderRow="1" firstDataRow="1" firstDataCol="1"/>
  <pivotFields count="12">
    <pivotField showAll="0"/>
    <pivotField showAll="0"/>
    <pivotField dataField="1" showAll="0"/>
    <pivotField axis="axisRow" showAll="0">
      <items count="24">
        <item m="1" x="9"/>
        <item x="4"/>
        <item m="1" x="7"/>
        <item m="1" x="12"/>
        <item m="1" x="20"/>
        <item m="1" x="6"/>
        <item m="1" x="5"/>
        <item m="1" x="8"/>
        <item m="1" x="11"/>
        <item m="1" x="18"/>
        <item m="1" x="22"/>
        <item m="1" x="14"/>
        <item m="1" x="16"/>
        <item m="1" x="21"/>
        <item x="3"/>
        <item m="1" x="13"/>
        <item m="1" x="19"/>
        <item m="1" x="15"/>
        <item m="1" x="17"/>
        <item m="1" x="10"/>
        <item x="0"/>
        <item x="1"/>
        <item x="2"/>
        <item t="default"/>
      </items>
    </pivotField>
    <pivotField numFmtId="44" showAll="0"/>
    <pivotField numFmtId="14" showAll="0"/>
    <pivotField numFmtId="14" showAll="0"/>
    <pivotField showAll="0"/>
    <pivotField showAll="0"/>
    <pivotField showAll="0"/>
    <pivotField showAll="0"/>
    <pivotField showAll="0"/>
  </pivotFields>
  <rowFields count="1">
    <field x="3"/>
  </rowFields>
  <rowItems count="6">
    <i>
      <x v="1"/>
    </i>
    <i>
      <x v="14"/>
    </i>
    <i>
      <x v="20"/>
    </i>
    <i>
      <x v="21"/>
    </i>
    <i>
      <x v="22"/>
    </i>
    <i t="grand">
      <x/>
    </i>
  </rowItems>
  <colItems count="1">
    <i/>
  </colItems>
  <dataFields count="1">
    <dataField name="Clientes" fld="2" subtotal="count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924BC-8BCF-4782-AE9E-1B977FEA6E37}" name="Tabela1" displayName="Tabela1" ref="A1:B4" totalsRowShown="0" headerRowDxfId="0" dataDxfId="1">
  <autoFilter ref="A1:B4" xr:uid="{470924BC-8BCF-4782-AE9E-1B977FEA6E37}"/>
  <tableColumns count="2">
    <tableColumn id="1" xr3:uid="{551D2AEF-B5C5-454C-B1C1-6B9F66C838C9}" name="Mês" dataDxfId="3"/>
    <tableColumn id="2" xr3:uid="{36775286-0BA4-41EB-AF99-0BC4AA589FF0}" name="Lucro Líquido Mensal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9FC5-5D91-475A-A05B-465A18089773}">
  <dimension ref="A3:B11"/>
  <sheetViews>
    <sheetView workbookViewId="0">
      <selection activeCell="B4" sqref="B4:B7"/>
    </sheetView>
  </sheetViews>
  <sheetFormatPr defaultRowHeight="15" x14ac:dyDescent="0.25"/>
  <cols>
    <col min="1" max="1" width="18" bestFit="1" customWidth="1"/>
    <col min="2" max="2" width="17.85546875" bestFit="1" customWidth="1"/>
  </cols>
  <sheetData>
    <row r="3" spans="1:2" x14ac:dyDescent="0.25">
      <c r="A3" s="6" t="s">
        <v>121</v>
      </c>
      <c r="B3" t="s">
        <v>120</v>
      </c>
    </row>
    <row r="4" spans="1:2" x14ac:dyDescent="0.25">
      <c r="A4" s="7" t="s">
        <v>87</v>
      </c>
      <c r="B4" s="5">
        <v>8</v>
      </c>
    </row>
    <row r="5" spans="1:2" x14ac:dyDescent="0.25">
      <c r="A5" s="7" t="s">
        <v>88</v>
      </c>
      <c r="B5" s="5">
        <v>4</v>
      </c>
    </row>
    <row r="6" spans="1:2" x14ac:dyDescent="0.25">
      <c r="A6" s="7" t="s">
        <v>89</v>
      </c>
      <c r="B6" s="5">
        <v>3</v>
      </c>
    </row>
    <row r="7" spans="1:2" x14ac:dyDescent="0.25">
      <c r="A7" s="7" t="s">
        <v>92</v>
      </c>
      <c r="B7" s="5">
        <v>2</v>
      </c>
    </row>
    <row r="8" spans="1:2" x14ac:dyDescent="0.25">
      <c r="A8" s="7" t="s">
        <v>93</v>
      </c>
      <c r="B8" s="5">
        <v>1</v>
      </c>
    </row>
    <row r="9" spans="1:2" x14ac:dyDescent="0.25">
      <c r="A9" s="7" t="s">
        <v>90</v>
      </c>
      <c r="B9" s="5">
        <v>1</v>
      </c>
    </row>
    <row r="10" spans="1:2" x14ac:dyDescent="0.25">
      <c r="A10" s="7" t="s">
        <v>91</v>
      </c>
      <c r="B10" s="5">
        <v>1</v>
      </c>
    </row>
    <row r="11" spans="1:2" x14ac:dyDescent="0.25">
      <c r="A11" s="7" t="s">
        <v>122</v>
      </c>
      <c r="B11" s="5">
        <v>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1"/>
  <sheetViews>
    <sheetView workbookViewId="0">
      <selection activeCell="A12" sqref="A12:A17"/>
    </sheetView>
  </sheetViews>
  <sheetFormatPr defaultRowHeight="15" x14ac:dyDescent="0.25"/>
  <cols>
    <col min="1" max="1" width="13.7109375" customWidth="1"/>
    <col min="2" max="2" width="34.7109375" customWidth="1"/>
    <col min="3" max="3" width="20.7109375" customWidth="1"/>
    <col min="4" max="4" width="30.7109375" customWidth="1"/>
    <col min="5" max="5" width="19.7109375" customWidth="1"/>
    <col min="6" max="6" width="13.7109375" customWidth="1"/>
    <col min="7" max="7" width="12.7109375" customWidth="1"/>
    <col min="8" max="8" width="11.7109375" customWidth="1"/>
    <col min="9" max="9" width="24.7109375" customWidth="1"/>
    <col min="10" max="10" width="38.7109375" customWidth="1"/>
    <col min="11" max="11" width="16.7109375" customWidth="1"/>
    <col min="12" max="12" width="14.5703125" bestFit="1" customWidth="1"/>
  </cols>
  <sheetData>
    <row r="1" spans="1:12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116</v>
      </c>
    </row>
    <row r="2" spans="1:12" hidden="1" x14ac:dyDescent="0.25">
      <c r="A2" t="s">
        <v>0</v>
      </c>
      <c r="B2" t="s">
        <v>20</v>
      </c>
      <c r="C2" t="s">
        <v>40</v>
      </c>
      <c r="D2" t="s">
        <v>123</v>
      </c>
      <c r="E2" s="3">
        <v>8500</v>
      </c>
      <c r="F2" s="4">
        <v>45672</v>
      </c>
      <c r="G2" s="4">
        <v>46036</v>
      </c>
      <c r="H2" t="str">
        <f ca="1">IF(L2&gt;0,"Ativo","Concluído")</f>
        <v>Concluído</v>
      </c>
      <c r="I2">
        <v>12</v>
      </c>
      <c r="J2" t="s">
        <v>67</v>
      </c>
      <c r="K2" t="s">
        <v>87</v>
      </c>
      <c r="L2" s="5">
        <f ca="1">G2-TODAY()</f>
        <v>-26</v>
      </c>
    </row>
    <row r="3" spans="1:12" hidden="1" x14ac:dyDescent="0.25">
      <c r="A3" t="s">
        <v>1</v>
      </c>
      <c r="B3" t="s">
        <v>21</v>
      </c>
      <c r="C3" t="s">
        <v>41</v>
      </c>
      <c r="D3" t="s">
        <v>124</v>
      </c>
      <c r="E3" s="3">
        <v>22000</v>
      </c>
      <c r="F3" s="4">
        <v>45444</v>
      </c>
      <c r="G3" s="4">
        <v>46538</v>
      </c>
      <c r="H3" t="str">
        <f t="shared" ref="H3:H21" ca="1" si="0">IF(L3&gt;0,"Ativo","Concluído")</f>
        <v>Ativo</v>
      </c>
      <c r="I3">
        <v>8</v>
      </c>
      <c r="J3" t="s">
        <v>68</v>
      </c>
      <c r="K3" t="s">
        <v>88</v>
      </c>
      <c r="L3" s="5">
        <f t="shared" ref="L3:L21" ca="1" si="1">G3-TODAY()</f>
        <v>476</v>
      </c>
    </row>
    <row r="4" spans="1:12" hidden="1" x14ac:dyDescent="0.25">
      <c r="A4" t="s">
        <v>2</v>
      </c>
      <c r="B4" t="s">
        <v>22</v>
      </c>
      <c r="C4" t="s">
        <v>42</v>
      </c>
      <c r="D4" t="s">
        <v>125</v>
      </c>
      <c r="E4" s="3">
        <v>5200</v>
      </c>
      <c r="F4" s="4">
        <v>45726</v>
      </c>
      <c r="G4" s="4">
        <v>46090</v>
      </c>
      <c r="H4" t="str">
        <f t="shared" ca="1" si="0"/>
        <v>Ativo</v>
      </c>
      <c r="I4">
        <v>6</v>
      </c>
      <c r="J4" t="s">
        <v>69</v>
      </c>
      <c r="K4" t="s">
        <v>89</v>
      </c>
      <c r="L4" s="5">
        <f t="shared" ca="1" si="1"/>
        <v>28</v>
      </c>
    </row>
    <row r="5" spans="1:12" hidden="1" x14ac:dyDescent="0.25">
      <c r="A5" t="s">
        <v>3</v>
      </c>
      <c r="B5" t="s">
        <v>23</v>
      </c>
      <c r="C5" t="s">
        <v>43</v>
      </c>
      <c r="D5" t="s">
        <v>123</v>
      </c>
      <c r="E5" s="3">
        <v>12000</v>
      </c>
      <c r="F5" s="4">
        <v>45597</v>
      </c>
      <c r="G5" s="4">
        <v>45961</v>
      </c>
      <c r="H5" t="str">
        <f t="shared" ca="1" si="0"/>
        <v>Concluído</v>
      </c>
      <c r="I5">
        <v>15</v>
      </c>
      <c r="J5" t="s">
        <v>70</v>
      </c>
      <c r="K5" t="s">
        <v>87</v>
      </c>
      <c r="L5" s="5">
        <f t="shared" ca="1" si="1"/>
        <v>-101</v>
      </c>
    </row>
    <row r="6" spans="1:12" hidden="1" x14ac:dyDescent="0.25">
      <c r="A6" t="s">
        <v>4</v>
      </c>
      <c r="B6" t="s">
        <v>24</v>
      </c>
      <c r="C6" t="s">
        <v>44</v>
      </c>
      <c r="D6" t="s">
        <v>62</v>
      </c>
      <c r="E6" s="3">
        <v>18500</v>
      </c>
      <c r="F6" s="4">
        <v>45689</v>
      </c>
      <c r="G6" s="4">
        <v>46053</v>
      </c>
      <c r="H6" t="str">
        <f t="shared" ca="1" si="0"/>
        <v>Concluído</v>
      </c>
      <c r="I6">
        <v>10</v>
      </c>
      <c r="J6" t="s">
        <v>71</v>
      </c>
      <c r="K6" t="s">
        <v>90</v>
      </c>
      <c r="L6" s="5">
        <f t="shared" ca="1" si="1"/>
        <v>-9</v>
      </c>
    </row>
    <row r="7" spans="1:12" hidden="1" x14ac:dyDescent="0.25">
      <c r="A7" t="s">
        <v>5</v>
      </c>
      <c r="B7" t="s">
        <v>25</v>
      </c>
      <c r="C7" t="s">
        <v>45</v>
      </c>
      <c r="D7" t="s">
        <v>125</v>
      </c>
      <c r="E7" s="3">
        <v>3800</v>
      </c>
      <c r="F7" s="4">
        <v>45658</v>
      </c>
      <c r="G7" s="4">
        <v>46022</v>
      </c>
      <c r="H7" t="str">
        <f t="shared" ca="1" si="0"/>
        <v>Concluído</v>
      </c>
      <c r="I7">
        <v>4</v>
      </c>
      <c r="J7" t="s">
        <v>72</v>
      </c>
      <c r="K7" t="s">
        <v>87</v>
      </c>
      <c r="L7" s="5">
        <f t="shared" ca="1" si="1"/>
        <v>-40</v>
      </c>
    </row>
    <row r="8" spans="1:12" hidden="1" x14ac:dyDescent="0.25">
      <c r="A8" t="s">
        <v>6</v>
      </c>
      <c r="B8" t="s">
        <v>26</v>
      </c>
      <c r="C8" t="s">
        <v>46</v>
      </c>
      <c r="D8" t="s">
        <v>124</v>
      </c>
      <c r="E8" s="3">
        <v>15000</v>
      </c>
      <c r="F8" s="4">
        <v>45519</v>
      </c>
      <c r="G8" s="4">
        <v>46248</v>
      </c>
      <c r="H8" t="str">
        <f t="shared" ca="1" si="0"/>
        <v>Ativo</v>
      </c>
      <c r="I8">
        <v>18</v>
      </c>
      <c r="J8" t="s">
        <v>73</v>
      </c>
      <c r="K8" t="s">
        <v>89</v>
      </c>
      <c r="L8" s="5">
        <f t="shared" ca="1" si="1"/>
        <v>186</v>
      </c>
    </row>
    <row r="9" spans="1:12" hidden="1" x14ac:dyDescent="0.25">
      <c r="A9" t="s">
        <v>7</v>
      </c>
      <c r="B9" t="s">
        <v>27</v>
      </c>
      <c r="C9" t="s">
        <v>47</v>
      </c>
      <c r="D9" t="s">
        <v>123</v>
      </c>
      <c r="E9" s="3">
        <v>9800</v>
      </c>
      <c r="F9" s="4">
        <v>45748</v>
      </c>
      <c r="G9" s="4">
        <v>46112</v>
      </c>
      <c r="H9" t="str">
        <f t="shared" ca="1" si="0"/>
        <v>Ativo</v>
      </c>
      <c r="I9">
        <v>14</v>
      </c>
      <c r="J9" t="s">
        <v>74</v>
      </c>
      <c r="K9" t="s">
        <v>87</v>
      </c>
      <c r="L9" s="5">
        <f t="shared" ca="1" si="1"/>
        <v>50</v>
      </c>
    </row>
    <row r="10" spans="1:12" hidden="1" x14ac:dyDescent="0.25">
      <c r="A10" t="s">
        <v>8</v>
      </c>
      <c r="B10" t="s">
        <v>28</v>
      </c>
      <c r="C10" t="s">
        <v>48</v>
      </c>
      <c r="D10" t="s">
        <v>63</v>
      </c>
      <c r="E10" s="3">
        <v>25000</v>
      </c>
      <c r="F10" s="4">
        <v>45261</v>
      </c>
      <c r="G10" s="4">
        <v>46356</v>
      </c>
      <c r="H10" t="str">
        <f t="shared" ca="1" si="0"/>
        <v>Ativo</v>
      </c>
      <c r="I10">
        <v>6</v>
      </c>
      <c r="J10" t="s">
        <v>75</v>
      </c>
      <c r="K10" t="s">
        <v>88</v>
      </c>
      <c r="L10" s="5">
        <f t="shared" ca="1" si="1"/>
        <v>294</v>
      </c>
    </row>
    <row r="11" spans="1:12" hidden="1" x14ac:dyDescent="0.25">
      <c r="A11" t="s">
        <v>9</v>
      </c>
      <c r="B11" t="s">
        <v>29</v>
      </c>
      <c r="C11" t="s">
        <v>49</v>
      </c>
      <c r="D11" t="s">
        <v>124</v>
      </c>
      <c r="E11" s="3">
        <v>19500</v>
      </c>
      <c r="F11" s="4">
        <v>45536</v>
      </c>
      <c r="G11" s="4">
        <v>46630</v>
      </c>
      <c r="H11" t="str">
        <f t="shared" ca="1" si="0"/>
        <v>Ativo</v>
      </c>
      <c r="I11">
        <v>20</v>
      </c>
      <c r="J11" t="s">
        <v>76</v>
      </c>
      <c r="K11" t="s">
        <v>87</v>
      </c>
      <c r="L11" s="5">
        <f t="shared" ca="1" si="1"/>
        <v>568</v>
      </c>
    </row>
    <row r="12" spans="1:12" x14ac:dyDescent="0.25">
      <c r="A12" t="s">
        <v>10</v>
      </c>
      <c r="B12" t="s">
        <v>30</v>
      </c>
      <c r="C12" t="s">
        <v>50</v>
      </c>
      <c r="D12" t="s">
        <v>124</v>
      </c>
      <c r="E12" s="3">
        <v>6500</v>
      </c>
      <c r="F12" s="4">
        <v>45703</v>
      </c>
      <c r="G12" s="4">
        <v>46067</v>
      </c>
      <c r="H12" t="str">
        <f t="shared" ca="1" si="0"/>
        <v>Ativo</v>
      </c>
      <c r="I12">
        <v>8</v>
      </c>
      <c r="J12" t="s">
        <v>77</v>
      </c>
      <c r="K12" t="s">
        <v>91</v>
      </c>
      <c r="L12" s="5">
        <f t="shared" ca="1" si="1"/>
        <v>5</v>
      </c>
    </row>
    <row r="13" spans="1:12" hidden="1" x14ac:dyDescent="0.25">
      <c r="A13" t="s">
        <v>11</v>
      </c>
      <c r="B13" t="s">
        <v>31</v>
      </c>
      <c r="C13" t="s">
        <v>51</v>
      </c>
      <c r="D13" t="s">
        <v>123</v>
      </c>
      <c r="E13" s="3">
        <v>11200</v>
      </c>
      <c r="F13" s="4">
        <v>45566</v>
      </c>
      <c r="G13" s="4">
        <v>45930</v>
      </c>
      <c r="H13" t="str">
        <f t="shared" ca="1" si="0"/>
        <v>Concluído</v>
      </c>
      <c r="I13">
        <v>16</v>
      </c>
      <c r="J13" t="s">
        <v>78</v>
      </c>
      <c r="K13" t="s">
        <v>87</v>
      </c>
      <c r="L13" s="5">
        <f t="shared" ca="1" si="1"/>
        <v>-132</v>
      </c>
    </row>
    <row r="14" spans="1:12" hidden="1" x14ac:dyDescent="0.25">
      <c r="A14" t="s">
        <v>12</v>
      </c>
      <c r="B14" t="s">
        <v>32</v>
      </c>
      <c r="C14" t="s">
        <v>52</v>
      </c>
      <c r="D14" t="s">
        <v>125</v>
      </c>
      <c r="E14" s="3">
        <v>13500</v>
      </c>
      <c r="F14" s="4">
        <v>45667</v>
      </c>
      <c r="G14" s="4">
        <v>46031</v>
      </c>
      <c r="H14" t="str">
        <f t="shared" ca="1" si="0"/>
        <v>Concluído</v>
      </c>
      <c r="I14">
        <v>12</v>
      </c>
      <c r="J14" t="s">
        <v>79</v>
      </c>
      <c r="K14" t="s">
        <v>92</v>
      </c>
      <c r="L14" s="5">
        <f t="shared" ca="1" si="1"/>
        <v>-31</v>
      </c>
    </row>
    <row r="15" spans="1:12" hidden="1" x14ac:dyDescent="0.25">
      <c r="A15" t="s">
        <v>13</v>
      </c>
      <c r="B15" t="s">
        <v>33</v>
      </c>
      <c r="C15" t="s">
        <v>53</v>
      </c>
      <c r="D15" t="s">
        <v>124</v>
      </c>
      <c r="E15" s="3">
        <v>4200</v>
      </c>
      <c r="F15" s="4">
        <v>45767</v>
      </c>
      <c r="G15" s="4">
        <v>45797</v>
      </c>
      <c r="H15" t="str">
        <f t="shared" ca="1" si="0"/>
        <v>Concluído</v>
      </c>
      <c r="I15">
        <v>10</v>
      </c>
      <c r="J15" t="s">
        <v>80</v>
      </c>
      <c r="K15" t="s">
        <v>92</v>
      </c>
      <c r="L15" s="5">
        <f t="shared" ca="1" si="1"/>
        <v>-265</v>
      </c>
    </row>
    <row r="16" spans="1:12" hidden="1" x14ac:dyDescent="0.25">
      <c r="A16" t="s">
        <v>14</v>
      </c>
      <c r="B16" t="s">
        <v>34</v>
      </c>
      <c r="C16" t="s">
        <v>54</v>
      </c>
      <c r="D16" t="s">
        <v>125</v>
      </c>
      <c r="E16" s="3">
        <v>7800</v>
      </c>
      <c r="F16" s="4">
        <v>45474</v>
      </c>
      <c r="G16" s="4">
        <v>46568</v>
      </c>
      <c r="H16" t="str">
        <f t="shared" ca="1" si="0"/>
        <v>Ativo</v>
      </c>
      <c r="I16">
        <v>9</v>
      </c>
      <c r="J16" t="s">
        <v>81</v>
      </c>
      <c r="K16" t="s">
        <v>89</v>
      </c>
      <c r="L16" s="5">
        <f t="shared" ca="1" si="1"/>
        <v>506</v>
      </c>
    </row>
    <row r="17" spans="1:12" x14ac:dyDescent="0.25">
      <c r="A17" t="s">
        <v>15</v>
      </c>
      <c r="B17" t="s">
        <v>35</v>
      </c>
      <c r="C17" t="s">
        <v>55</v>
      </c>
      <c r="D17" t="s">
        <v>124</v>
      </c>
      <c r="E17" s="3">
        <v>16000</v>
      </c>
      <c r="F17" s="4">
        <v>45717</v>
      </c>
      <c r="G17" s="4">
        <v>46081</v>
      </c>
      <c r="H17" t="str">
        <f t="shared" ca="1" si="0"/>
        <v>Ativo</v>
      </c>
      <c r="I17">
        <v>6</v>
      </c>
      <c r="J17" t="s">
        <v>82</v>
      </c>
      <c r="K17" t="s">
        <v>87</v>
      </c>
      <c r="L17" s="5">
        <f t="shared" ca="1" si="1"/>
        <v>19</v>
      </c>
    </row>
    <row r="18" spans="1:12" hidden="1" x14ac:dyDescent="0.25">
      <c r="A18" t="s">
        <v>16</v>
      </c>
      <c r="B18" t="s">
        <v>36</v>
      </c>
      <c r="C18" t="s">
        <v>56</v>
      </c>
      <c r="D18" t="s">
        <v>123</v>
      </c>
      <c r="E18" s="3">
        <v>8900</v>
      </c>
      <c r="F18" s="4">
        <v>45627</v>
      </c>
      <c r="G18" s="4">
        <v>45991</v>
      </c>
      <c r="H18" t="str">
        <f t="shared" ca="1" si="0"/>
        <v>Concluído</v>
      </c>
      <c r="I18">
        <v>11</v>
      </c>
      <c r="J18" t="s">
        <v>83</v>
      </c>
      <c r="K18" t="s">
        <v>93</v>
      </c>
      <c r="L18" s="5">
        <f t="shared" ca="1" si="1"/>
        <v>-71</v>
      </c>
    </row>
    <row r="19" spans="1:12" hidden="1" x14ac:dyDescent="0.25">
      <c r="A19" t="s">
        <v>17</v>
      </c>
      <c r="B19" t="s">
        <v>37</v>
      </c>
      <c r="C19" t="s">
        <v>57</v>
      </c>
      <c r="D19" t="s">
        <v>125</v>
      </c>
      <c r="E19" s="3">
        <v>5600</v>
      </c>
      <c r="F19" s="4">
        <v>45778</v>
      </c>
      <c r="G19" s="4">
        <v>46142</v>
      </c>
      <c r="H19" t="str">
        <f t="shared" ca="1" si="0"/>
        <v>Ativo</v>
      </c>
      <c r="I19">
        <v>7</v>
      </c>
      <c r="J19" t="s">
        <v>84</v>
      </c>
      <c r="K19" t="s">
        <v>88</v>
      </c>
      <c r="L19" s="5">
        <f t="shared" ca="1" si="1"/>
        <v>80</v>
      </c>
    </row>
    <row r="20" spans="1:12" hidden="1" x14ac:dyDescent="0.25">
      <c r="A20" t="s">
        <v>18</v>
      </c>
      <c r="B20" t="s">
        <v>38</v>
      </c>
      <c r="C20" t="s">
        <v>58</v>
      </c>
      <c r="D20" t="s">
        <v>124</v>
      </c>
      <c r="E20" s="3">
        <v>24000</v>
      </c>
      <c r="F20" s="4">
        <v>45427</v>
      </c>
      <c r="G20" s="4">
        <v>46521</v>
      </c>
      <c r="H20" t="str">
        <f t="shared" ca="1" si="0"/>
        <v>Ativo</v>
      </c>
      <c r="I20">
        <v>25</v>
      </c>
      <c r="J20" t="s">
        <v>85</v>
      </c>
      <c r="K20" t="s">
        <v>87</v>
      </c>
      <c r="L20" s="5">
        <f t="shared" ca="1" si="1"/>
        <v>459</v>
      </c>
    </row>
    <row r="21" spans="1:12" hidden="1" x14ac:dyDescent="0.25">
      <c r="A21" t="s">
        <v>19</v>
      </c>
      <c r="B21" t="s">
        <v>39</v>
      </c>
      <c r="C21" t="s">
        <v>59</v>
      </c>
      <c r="D21" t="s">
        <v>124</v>
      </c>
      <c r="E21" s="3">
        <v>20000</v>
      </c>
      <c r="F21" s="4">
        <v>45170</v>
      </c>
      <c r="G21" s="4">
        <v>46265</v>
      </c>
      <c r="H21" t="str">
        <f t="shared" ca="1" si="0"/>
        <v>Ativo</v>
      </c>
      <c r="I21">
        <v>16</v>
      </c>
      <c r="J21" t="s">
        <v>86</v>
      </c>
      <c r="K21" t="s">
        <v>88</v>
      </c>
      <c r="L21" s="5">
        <f t="shared" ca="1" si="1"/>
        <v>203</v>
      </c>
    </row>
  </sheetData>
  <autoFilter ref="A1:K21" xr:uid="{00000000-0001-0000-0000-000000000000}">
    <filterColumn colId="6">
      <filters>
        <dateGroupItem year="2026" month="2" dateTimeGrouping="mont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25"/>
  <sheetViews>
    <sheetView workbookViewId="0">
      <selection activeCell="B12" sqref="B12:B17"/>
    </sheetView>
  </sheetViews>
  <sheetFormatPr defaultRowHeight="15" x14ac:dyDescent="0.25"/>
  <cols>
    <col min="1" max="1" width="13.7109375" customWidth="1"/>
    <col min="2" max="2" width="14.7109375" customWidth="1"/>
    <col min="3" max="3" width="13.7109375" customWidth="1"/>
    <col min="4" max="4" width="23.7109375" customWidth="1"/>
    <col min="5" max="5" width="18.7109375" customWidth="1"/>
    <col min="6" max="6" width="19.7109375" customWidth="1"/>
    <col min="7" max="7" width="15.7109375" customWidth="1"/>
  </cols>
  <sheetData>
    <row r="1" spans="1:7" x14ac:dyDescent="0.25">
      <c r="A1" t="s">
        <v>94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</row>
    <row r="2" spans="1:7" hidden="1" x14ac:dyDescent="0.25">
      <c r="A2" t="s">
        <v>0</v>
      </c>
      <c r="B2" s="1">
        <v>8500</v>
      </c>
      <c r="C2" s="1">
        <v>102000</v>
      </c>
      <c r="D2" t="s">
        <v>118</v>
      </c>
      <c r="E2">
        <v>25</v>
      </c>
      <c r="F2" s="2">
        <v>76500</v>
      </c>
      <c r="G2" s="2">
        <v>25500</v>
      </c>
    </row>
    <row r="3" spans="1:7" hidden="1" x14ac:dyDescent="0.25">
      <c r="A3" t="s">
        <v>1</v>
      </c>
      <c r="B3" s="1">
        <v>22000</v>
      </c>
      <c r="C3" s="1">
        <v>264000</v>
      </c>
      <c r="D3" t="s">
        <v>119</v>
      </c>
      <c r="E3">
        <v>30</v>
      </c>
      <c r="F3" s="2">
        <v>184800</v>
      </c>
      <c r="G3" s="2">
        <v>79200</v>
      </c>
    </row>
    <row r="4" spans="1:7" hidden="1" x14ac:dyDescent="0.25">
      <c r="A4" t="s">
        <v>2</v>
      </c>
      <c r="B4" s="1">
        <v>5200</v>
      </c>
      <c r="C4" s="1">
        <v>62400</v>
      </c>
      <c r="D4" t="s">
        <v>118</v>
      </c>
      <c r="E4">
        <v>22</v>
      </c>
      <c r="F4" s="2">
        <v>48672</v>
      </c>
      <c r="G4" s="2">
        <v>13728</v>
      </c>
    </row>
    <row r="5" spans="1:7" hidden="1" x14ac:dyDescent="0.25">
      <c r="A5" t="s">
        <v>3</v>
      </c>
      <c r="B5" s="1">
        <v>12000</v>
      </c>
      <c r="C5" s="1">
        <v>144000</v>
      </c>
      <c r="D5" t="s">
        <v>117</v>
      </c>
      <c r="E5">
        <v>28</v>
      </c>
      <c r="F5" s="2">
        <v>103680</v>
      </c>
      <c r="G5" s="2">
        <v>40320</v>
      </c>
    </row>
    <row r="6" spans="1:7" hidden="1" x14ac:dyDescent="0.25">
      <c r="A6" t="s">
        <v>4</v>
      </c>
      <c r="B6" s="1">
        <v>18500</v>
      </c>
      <c r="C6" s="1">
        <v>222000</v>
      </c>
      <c r="D6" t="s">
        <v>119</v>
      </c>
      <c r="E6">
        <v>32</v>
      </c>
      <c r="F6" s="2">
        <v>150960</v>
      </c>
      <c r="G6" s="2">
        <v>71040</v>
      </c>
    </row>
    <row r="7" spans="1:7" hidden="1" x14ac:dyDescent="0.25">
      <c r="A7" t="s">
        <v>5</v>
      </c>
      <c r="B7" s="1">
        <v>3800</v>
      </c>
      <c r="C7" s="1">
        <v>45600</v>
      </c>
      <c r="D7" t="s">
        <v>118</v>
      </c>
      <c r="E7">
        <v>20</v>
      </c>
      <c r="F7" s="2">
        <v>36480</v>
      </c>
      <c r="G7" s="2">
        <v>9120</v>
      </c>
    </row>
    <row r="8" spans="1:7" hidden="1" x14ac:dyDescent="0.25">
      <c r="A8" t="s">
        <v>6</v>
      </c>
      <c r="B8" s="1">
        <v>15000</v>
      </c>
      <c r="C8" s="1">
        <v>180000</v>
      </c>
      <c r="D8" t="s">
        <v>117</v>
      </c>
      <c r="E8">
        <v>26</v>
      </c>
      <c r="F8" s="2">
        <v>133200</v>
      </c>
      <c r="G8" s="2">
        <v>46800</v>
      </c>
    </row>
    <row r="9" spans="1:7" hidden="1" x14ac:dyDescent="0.25">
      <c r="A9" t="s">
        <v>7</v>
      </c>
      <c r="B9" s="1">
        <v>9800</v>
      </c>
      <c r="C9" s="1">
        <v>117600</v>
      </c>
      <c r="D9" t="s">
        <v>119</v>
      </c>
      <c r="E9">
        <v>29</v>
      </c>
      <c r="F9" s="2">
        <v>83448</v>
      </c>
      <c r="G9" s="2">
        <v>34152</v>
      </c>
    </row>
    <row r="10" spans="1:7" hidden="1" x14ac:dyDescent="0.25">
      <c r="A10" t="s">
        <v>8</v>
      </c>
      <c r="B10" s="1">
        <v>25000</v>
      </c>
      <c r="C10" s="1">
        <v>300000</v>
      </c>
      <c r="D10" t="s">
        <v>117</v>
      </c>
      <c r="E10">
        <v>35</v>
      </c>
      <c r="F10" s="2">
        <v>195000</v>
      </c>
      <c r="G10" s="2">
        <v>105000</v>
      </c>
    </row>
    <row r="11" spans="1:7" hidden="1" x14ac:dyDescent="0.25">
      <c r="A11" t="s">
        <v>9</v>
      </c>
      <c r="B11" s="1">
        <v>19500</v>
      </c>
      <c r="C11" s="1">
        <v>234000</v>
      </c>
      <c r="D11" t="s">
        <v>119</v>
      </c>
      <c r="E11">
        <v>31</v>
      </c>
      <c r="F11" s="2">
        <v>161460</v>
      </c>
      <c r="G11" s="2">
        <v>72540</v>
      </c>
    </row>
    <row r="12" spans="1:7" x14ac:dyDescent="0.25">
      <c r="A12" t="s">
        <v>10</v>
      </c>
      <c r="B12" s="1">
        <v>6500</v>
      </c>
      <c r="C12" s="1">
        <v>78000</v>
      </c>
      <c r="D12" t="s">
        <v>118</v>
      </c>
      <c r="E12">
        <v>23</v>
      </c>
      <c r="F12" s="2">
        <v>60060</v>
      </c>
      <c r="G12" s="2">
        <v>17940</v>
      </c>
    </row>
    <row r="13" spans="1:7" hidden="1" x14ac:dyDescent="0.25">
      <c r="A13" t="s">
        <v>11</v>
      </c>
      <c r="B13" s="1">
        <v>11200</v>
      </c>
      <c r="C13" s="1">
        <v>134400</v>
      </c>
      <c r="D13" t="s">
        <v>117</v>
      </c>
      <c r="E13">
        <v>27</v>
      </c>
      <c r="F13" s="2">
        <v>98112</v>
      </c>
      <c r="G13" s="2">
        <v>36288</v>
      </c>
    </row>
    <row r="14" spans="1:7" hidden="1" x14ac:dyDescent="0.25">
      <c r="A14" t="s">
        <v>12</v>
      </c>
      <c r="B14" s="1">
        <v>13500</v>
      </c>
      <c r="C14" s="1">
        <v>162000</v>
      </c>
      <c r="D14" t="s">
        <v>119</v>
      </c>
      <c r="E14">
        <v>29</v>
      </c>
      <c r="F14" s="2">
        <v>115020</v>
      </c>
      <c r="G14" s="2">
        <v>46980</v>
      </c>
    </row>
    <row r="15" spans="1:7" hidden="1" x14ac:dyDescent="0.25">
      <c r="A15" t="s">
        <v>13</v>
      </c>
      <c r="B15" s="1">
        <v>4200</v>
      </c>
      <c r="C15" s="1">
        <v>4200</v>
      </c>
      <c r="D15" t="s">
        <v>118</v>
      </c>
      <c r="E15">
        <v>24</v>
      </c>
      <c r="F15" s="2">
        <v>3192</v>
      </c>
      <c r="G15" s="2">
        <v>1008</v>
      </c>
    </row>
    <row r="16" spans="1:7" hidden="1" x14ac:dyDescent="0.25">
      <c r="A16" t="s">
        <v>14</v>
      </c>
      <c r="B16" s="1">
        <v>7800</v>
      </c>
      <c r="C16" s="1">
        <v>93600</v>
      </c>
      <c r="D16" t="s">
        <v>117</v>
      </c>
      <c r="E16">
        <v>25</v>
      </c>
      <c r="F16" s="2">
        <v>70200</v>
      </c>
      <c r="G16" s="2">
        <v>23400</v>
      </c>
    </row>
    <row r="17" spans="1:7" x14ac:dyDescent="0.25">
      <c r="A17" t="s">
        <v>15</v>
      </c>
      <c r="B17" s="1">
        <v>16000</v>
      </c>
      <c r="C17" s="1">
        <v>192000</v>
      </c>
      <c r="D17" t="s">
        <v>119</v>
      </c>
      <c r="E17">
        <v>33</v>
      </c>
      <c r="F17" s="2">
        <v>128640</v>
      </c>
      <c r="G17" s="2">
        <v>63360</v>
      </c>
    </row>
    <row r="18" spans="1:7" hidden="1" x14ac:dyDescent="0.25">
      <c r="A18" t="s">
        <v>16</v>
      </c>
      <c r="B18" s="1">
        <v>8900</v>
      </c>
      <c r="C18" s="1">
        <v>106800</v>
      </c>
      <c r="D18" t="s">
        <v>118</v>
      </c>
      <c r="E18">
        <v>26</v>
      </c>
      <c r="F18" s="2">
        <v>79092</v>
      </c>
      <c r="G18" s="2">
        <v>27708</v>
      </c>
    </row>
    <row r="19" spans="1:7" hidden="1" x14ac:dyDescent="0.25">
      <c r="A19" t="s">
        <v>17</v>
      </c>
      <c r="B19" s="1">
        <v>5600</v>
      </c>
      <c r="C19" s="1">
        <v>67200</v>
      </c>
      <c r="D19" t="s">
        <v>117</v>
      </c>
      <c r="E19">
        <v>24</v>
      </c>
      <c r="F19" s="2">
        <v>51072</v>
      </c>
      <c r="G19" s="2">
        <v>16128</v>
      </c>
    </row>
    <row r="20" spans="1:7" hidden="1" x14ac:dyDescent="0.25">
      <c r="A20" t="s">
        <v>18</v>
      </c>
      <c r="B20" s="1">
        <v>24000</v>
      </c>
      <c r="C20" s="1">
        <v>288000</v>
      </c>
      <c r="D20" t="s">
        <v>119</v>
      </c>
      <c r="E20">
        <v>34</v>
      </c>
      <c r="F20" s="2">
        <v>189120</v>
      </c>
      <c r="G20" s="2">
        <v>98880</v>
      </c>
    </row>
    <row r="21" spans="1:7" hidden="1" x14ac:dyDescent="0.25">
      <c r="A21" t="s">
        <v>19</v>
      </c>
      <c r="B21" s="1">
        <v>20000</v>
      </c>
      <c r="C21" s="1">
        <v>240000</v>
      </c>
      <c r="D21" t="s">
        <v>117</v>
      </c>
      <c r="E21">
        <v>32</v>
      </c>
      <c r="F21" s="2">
        <v>163200</v>
      </c>
      <c r="G21" s="2">
        <v>76800</v>
      </c>
    </row>
    <row r="24" spans="1:7" x14ac:dyDescent="0.25">
      <c r="A24" t="s">
        <v>10</v>
      </c>
    </row>
    <row r="25" spans="1:7" x14ac:dyDescent="0.25">
      <c r="A25" t="s">
        <v>15</v>
      </c>
    </row>
  </sheetData>
  <autoFilter ref="A1:G21" xr:uid="{00000000-0001-0000-0100-000000000000}">
    <filterColumn colId="0">
      <colorFilter dxfId="4"/>
    </filterColumn>
    <sortState xmlns:xlrd2="http://schemas.microsoft.com/office/spreadsheetml/2017/richdata2" ref="A2:G21">
      <sortCondition ref="A2:A21"/>
    </sortState>
  </autoFilter>
  <conditionalFormatting sqref="A1:A1048576">
    <cfRule type="duplicateValues" dxfId="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D38" sqref="D38"/>
    </sheetView>
  </sheetViews>
  <sheetFormatPr defaultRowHeight="15" x14ac:dyDescent="0.25"/>
  <cols>
    <col min="1" max="1" width="16.7109375" customWidth="1"/>
    <col min="2" max="2" width="22.7109375" customWidth="1"/>
    <col min="3" max="3" width="20.7109375" customWidth="1"/>
    <col min="4" max="4" width="24.7109375" customWidth="1"/>
    <col min="5" max="5" width="26.7109375" customWidth="1"/>
    <col min="6" max="6" width="14.7109375" customWidth="1"/>
  </cols>
  <sheetData>
    <row r="1" spans="1:6" x14ac:dyDescent="0.25">
      <c r="A1" t="s">
        <v>104</v>
      </c>
      <c r="B1" t="s">
        <v>112</v>
      </c>
      <c r="C1" t="s">
        <v>113</v>
      </c>
      <c r="D1" t="s">
        <v>102</v>
      </c>
      <c r="E1" t="s">
        <v>114</v>
      </c>
      <c r="F1" t="s">
        <v>115</v>
      </c>
    </row>
    <row r="2" spans="1:6" x14ac:dyDescent="0.25">
      <c r="A2" t="s">
        <v>87</v>
      </c>
      <c r="B2">
        <v>9</v>
      </c>
      <c r="C2" s="2">
        <v>131900</v>
      </c>
      <c r="D2">
        <v>126</v>
      </c>
      <c r="E2" t="s">
        <v>60</v>
      </c>
      <c r="F2" s="3">
        <v>14655</v>
      </c>
    </row>
    <row r="3" spans="1:6" x14ac:dyDescent="0.25">
      <c r="A3" t="s">
        <v>88</v>
      </c>
      <c r="B3">
        <v>4</v>
      </c>
      <c r="C3" s="2">
        <v>85000</v>
      </c>
      <c r="D3">
        <v>40</v>
      </c>
      <c r="E3" t="s">
        <v>61</v>
      </c>
      <c r="F3" s="3">
        <v>21250</v>
      </c>
    </row>
    <row r="4" spans="1:6" x14ac:dyDescent="0.25">
      <c r="A4" t="s">
        <v>89</v>
      </c>
      <c r="B4">
        <v>3</v>
      </c>
      <c r="C4" s="2">
        <v>28000</v>
      </c>
      <c r="D4">
        <v>32</v>
      </c>
      <c r="E4" t="s">
        <v>111</v>
      </c>
      <c r="F4" s="3">
        <v>9333</v>
      </c>
    </row>
    <row r="5" spans="1:6" x14ac:dyDescent="0.25">
      <c r="A5" t="s">
        <v>90</v>
      </c>
      <c r="B5">
        <v>1</v>
      </c>
      <c r="C5" s="2">
        <v>18500</v>
      </c>
      <c r="D5">
        <v>10</v>
      </c>
      <c r="E5" t="s">
        <v>62</v>
      </c>
      <c r="F5" s="3">
        <v>18500</v>
      </c>
    </row>
    <row r="6" spans="1:6" x14ac:dyDescent="0.25">
      <c r="A6" t="s">
        <v>92</v>
      </c>
      <c r="B6">
        <v>2</v>
      </c>
      <c r="C6" s="2">
        <v>17700</v>
      </c>
      <c r="D6">
        <v>22</v>
      </c>
      <c r="E6" t="s">
        <v>65</v>
      </c>
      <c r="F6" s="3">
        <v>8850</v>
      </c>
    </row>
    <row r="7" spans="1:6" x14ac:dyDescent="0.25">
      <c r="A7" t="s">
        <v>91</v>
      </c>
      <c r="B7">
        <v>1</v>
      </c>
      <c r="C7" s="2">
        <v>6500</v>
      </c>
      <c r="D7">
        <v>8</v>
      </c>
      <c r="E7" t="s">
        <v>64</v>
      </c>
      <c r="F7" s="3">
        <v>6500</v>
      </c>
    </row>
    <row r="8" spans="1:6" x14ac:dyDescent="0.25">
      <c r="A8" t="s">
        <v>93</v>
      </c>
      <c r="B8">
        <v>1</v>
      </c>
      <c r="C8" s="2">
        <v>8900</v>
      </c>
      <c r="D8">
        <v>11</v>
      </c>
      <c r="E8" t="s">
        <v>66</v>
      </c>
      <c r="F8" s="3">
        <v>8900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4F3C-6A2D-4C20-9E1F-DA9174680DDD}">
  <dimension ref="A3:B9"/>
  <sheetViews>
    <sheetView workbookViewId="0">
      <selection activeCell="F7" sqref="F7"/>
    </sheetView>
  </sheetViews>
  <sheetFormatPr defaultRowHeight="15" x14ac:dyDescent="0.25"/>
  <cols>
    <col min="1" max="1" width="20.7109375" bestFit="1" customWidth="1"/>
    <col min="2" max="2" width="8.28515625" bestFit="1" customWidth="1"/>
  </cols>
  <sheetData>
    <row r="3" spans="1:2" x14ac:dyDescent="0.25">
      <c r="A3" s="6" t="s">
        <v>126</v>
      </c>
      <c r="B3" t="s">
        <v>127</v>
      </c>
    </row>
    <row r="4" spans="1:2" x14ac:dyDescent="0.25">
      <c r="A4" s="7" t="s">
        <v>63</v>
      </c>
      <c r="B4" s="5">
        <v>1</v>
      </c>
    </row>
    <row r="5" spans="1:2" x14ac:dyDescent="0.25">
      <c r="A5" s="7" t="s">
        <v>62</v>
      </c>
      <c r="B5" s="5">
        <v>1</v>
      </c>
    </row>
    <row r="6" spans="1:2" x14ac:dyDescent="0.25">
      <c r="A6" s="7" t="s">
        <v>123</v>
      </c>
      <c r="B6" s="5">
        <v>5</v>
      </c>
    </row>
    <row r="7" spans="1:2" x14ac:dyDescent="0.25">
      <c r="A7" s="7" t="s">
        <v>124</v>
      </c>
      <c r="B7" s="5">
        <v>8</v>
      </c>
    </row>
    <row r="8" spans="1:2" x14ac:dyDescent="0.25">
      <c r="A8" s="7" t="s">
        <v>125</v>
      </c>
      <c r="B8" s="5">
        <v>5</v>
      </c>
    </row>
    <row r="9" spans="1:2" x14ac:dyDescent="0.25">
      <c r="A9" s="7" t="s">
        <v>122</v>
      </c>
      <c r="B9" s="5">
        <v>20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79C8-ABFF-496E-8D57-71562D9CFA23}">
  <dimension ref="A1:B4"/>
  <sheetViews>
    <sheetView tabSelected="1" workbookViewId="0">
      <selection activeCell="D9" sqref="D9"/>
    </sheetView>
  </sheetViews>
  <sheetFormatPr defaultRowHeight="15" x14ac:dyDescent="0.25"/>
  <cols>
    <col min="1" max="1" width="9.42578125" style="8" bestFit="1" customWidth="1"/>
    <col min="2" max="2" width="24.5703125" style="8" bestFit="1" customWidth="1"/>
    <col min="3" max="16384" width="9.140625" style="8"/>
  </cols>
  <sheetData>
    <row r="1" spans="1:2" x14ac:dyDescent="0.25">
      <c r="A1" s="8" t="s">
        <v>128</v>
      </c>
      <c r="B1" s="8" t="s">
        <v>129</v>
      </c>
    </row>
    <row r="2" spans="1:2" x14ac:dyDescent="0.25">
      <c r="A2" s="9">
        <v>45992</v>
      </c>
      <c r="B2" s="10">
        <v>298956</v>
      </c>
    </row>
    <row r="3" spans="1:2" x14ac:dyDescent="0.25">
      <c r="A3" s="9">
        <v>46023</v>
      </c>
      <c r="B3" s="10">
        <v>531180</v>
      </c>
    </row>
    <row r="4" spans="1:2" x14ac:dyDescent="0.25">
      <c r="A4" s="9">
        <v>46054</v>
      </c>
      <c r="B4" s="10">
        <v>1446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Planilha2</vt:lpstr>
      <vt:lpstr>Contratos</vt:lpstr>
      <vt:lpstr>Detalhes Financeiros</vt:lpstr>
      <vt:lpstr>Análise Regional</vt:lpstr>
      <vt:lpstr>Tipos de Serviço</vt:lpstr>
      <vt:lpstr>Lucro Líquido Por Mês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Ramalho</cp:lastModifiedBy>
  <dcterms:created xsi:type="dcterms:W3CDTF">2026-02-09T13:52:30Z</dcterms:created>
  <dcterms:modified xsi:type="dcterms:W3CDTF">2026-02-09T17:30:56Z</dcterms:modified>
</cp:coreProperties>
</file>